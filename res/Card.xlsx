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orkplace\PythonWorkplace\Binary\res\"/>
    </mc:Choice>
  </mc:AlternateContent>
  <xr:revisionPtr revIDLastSave="0" documentId="13_ncr:1_{99237714-C06B-436D-9AB4-EA1B1EC72F0E}" xr6:coauthVersionLast="36" xr6:coauthVersionMax="36" xr10:uidLastSave="{00000000-0000-0000-0000-000000000000}"/>
  <bookViews>
    <workbookView xWindow="0" yWindow="0" windowWidth="28800" windowHeight="12000" xr2:uid="{51AAA0D9-229E-4E49-83B0-5342FE57A35A}"/>
  </bookViews>
  <sheets>
    <sheet name="160" sheetId="3" r:id="rId1"/>
  </sheets>
  <calcPr calcId="191029"/>
</workbook>
</file>

<file path=xl/calcChain.xml><?xml version="1.0" encoding="utf-8"?>
<calcChain xmlns="http://schemas.openxmlformats.org/spreadsheetml/2006/main">
  <c r="G161" i="3" l="1"/>
  <c r="D161" i="3"/>
  <c r="G160" i="3"/>
  <c r="D160" i="3"/>
  <c r="G159" i="3"/>
  <c r="D159" i="3"/>
  <c r="G158" i="3"/>
  <c r="D158" i="3"/>
  <c r="G157" i="3"/>
  <c r="D157" i="3"/>
  <c r="G156" i="3"/>
  <c r="D156" i="3"/>
  <c r="G155" i="3"/>
  <c r="D155" i="3"/>
  <c r="G154" i="3"/>
  <c r="D154" i="3"/>
  <c r="G153" i="3"/>
  <c r="D153" i="3"/>
  <c r="G152" i="3"/>
  <c r="D152" i="3"/>
  <c r="G151" i="3"/>
  <c r="D151" i="3"/>
  <c r="G150" i="3"/>
  <c r="D150" i="3"/>
  <c r="G149" i="3"/>
  <c r="D149" i="3"/>
  <c r="G148" i="3"/>
  <c r="D148" i="3"/>
  <c r="G147" i="3"/>
  <c r="D147" i="3"/>
  <c r="G146" i="3"/>
  <c r="D146" i="3"/>
  <c r="G145" i="3"/>
  <c r="D145" i="3"/>
  <c r="G144" i="3"/>
  <c r="D144" i="3"/>
  <c r="G143" i="3"/>
  <c r="D143" i="3"/>
  <c r="G142" i="3"/>
  <c r="D142" i="3"/>
  <c r="G141" i="3"/>
  <c r="D141" i="3"/>
  <c r="G140" i="3"/>
  <c r="D140" i="3"/>
  <c r="G139" i="3"/>
  <c r="D139" i="3"/>
  <c r="G138" i="3"/>
  <c r="D138" i="3"/>
  <c r="G137" i="3"/>
  <c r="D137" i="3"/>
  <c r="G136" i="3"/>
  <c r="D136" i="3"/>
  <c r="G135" i="3"/>
  <c r="D135" i="3"/>
  <c r="G134" i="3"/>
  <c r="D134" i="3"/>
  <c r="G133" i="3"/>
  <c r="D133" i="3"/>
  <c r="G132" i="3"/>
  <c r="D132" i="3"/>
  <c r="G131" i="3"/>
  <c r="D131" i="3"/>
  <c r="G130" i="3"/>
  <c r="D130" i="3"/>
  <c r="G129" i="3"/>
  <c r="D129" i="3"/>
  <c r="G128" i="3"/>
  <c r="D128" i="3"/>
  <c r="G127" i="3"/>
  <c r="D127" i="3"/>
  <c r="G126" i="3"/>
  <c r="D126" i="3"/>
  <c r="G125" i="3"/>
  <c r="D125" i="3"/>
  <c r="G124" i="3"/>
  <c r="D124" i="3"/>
  <c r="G123" i="3"/>
  <c r="D123" i="3"/>
  <c r="G122" i="3"/>
  <c r="D122" i="3"/>
  <c r="G121" i="3"/>
  <c r="D121" i="3"/>
  <c r="G120" i="3"/>
  <c r="D120" i="3"/>
  <c r="G119" i="3"/>
  <c r="D119" i="3"/>
  <c r="G118" i="3"/>
  <c r="D118" i="3"/>
  <c r="G117" i="3"/>
  <c r="D117" i="3"/>
  <c r="G116" i="3"/>
  <c r="D116" i="3"/>
  <c r="G115" i="3"/>
  <c r="D115" i="3"/>
  <c r="G114" i="3"/>
  <c r="D114" i="3"/>
  <c r="G113" i="3"/>
  <c r="D113" i="3"/>
  <c r="G112" i="3"/>
  <c r="D112" i="3"/>
  <c r="G111" i="3"/>
  <c r="D111" i="3"/>
  <c r="G110" i="3"/>
  <c r="D110" i="3"/>
  <c r="G109" i="3"/>
  <c r="D109" i="3"/>
  <c r="G108" i="3"/>
  <c r="D108" i="3"/>
  <c r="G107" i="3"/>
  <c r="D107" i="3"/>
  <c r="G106" i="3"/>
  <c r="D106" i="3"/>
  <c r="G105" i="3"/>
  <c r="D105" i="3"/>
  <c r="G104" i="3"/>
  <c r="D104" i="3"/>
  <c r="G103" i="3"/>
  <c r="D103" i="3"/>
  <c r="G102" i="3"/>
  <c r="D102" i="3"/>
  <c r="G101" i="3"/>
  <c r="D101" i="3"/>
  <c r="G100" i="3"/>
  <c r="D100" i="3"/>
  <c r="G99" i="3"/>
  <c r="D99" i="3"/>
  <c r="G98" i="3"/>
  <c r="D98" i="3"/>
  <c r="G97" i="3"/>
  <c r="D97" i="3"/>
  <c r="G96" i="3"/>
  <c r="D96" i="3"/>
  <c r="G95" i="3"/>
  <c r="D95" i="3"/>
  <c r="G94" i="3"/>
  <c r="D94" i="3"/>
  <c r="G93" i="3"/>
  <c r="D93" i="3"/>
  <c r="G92" i="3"/>
  <c r="D92" i="3"/>
  <c r="G91" i="3"/>
  <c r="D91" i="3"/>
  <c r="G90" i="3"/>
  <c r="D90" i="3"/>
  <c r="G89" i="3"/>
  <c r="D89" i="3"/>
  <c r="G88" i="3"/>
  <c r="D88" i="3"/>
  <c r="G87" i="3"/>
  <c r="D87" i="3"/>
  <c r="G86" i="3"/>
  <c r="D86" i="3"/>
  <c r="G85" i="3"/>
  <c r="D85" i="3"/>
  <c r="G84" i="3"/>
  <c r="D84" i="3"/>
  <c r="G83" i="3"/>
  <c r="D83" i="3"/>
  <c r="G82" i="3"/>
  <c r="D82" i="3"/>
  <c r="G81" i="3"/>
  <c r="D81" i="3"/>
  <c r="G80" i="3"/>
  <c r="D80" i="3"/>
  <c r="G79" i="3"/>
  <c r="D79" i="3"/>
  <c r="G78" i="3"/>
  <c r="D78" i="3"/>
  <c r="G77" i="3"/>
  <c r="D77" i="3"/>
  <c r="G76" i="3"/>
  <c r="D76" i="3"/>
  <c r="G75" i="3"/>
  <c r="D75" i="3"/>
  <c r="G74" i="3"/>
  <c r="D74" i="3"/>
  <c r="G73" i="3"/>
  <c r="D73" i="3"/>
  <c r="G72" i="3"/>
  <c r="D72" i="3"/>
  <c r="G71" i="3"/>
  <c r="D71" i="3"/>
  <c r="G70" i="3"/>
  <c r="D70" i="3"/>
  <c r="G69" i="3"/>
  <c r="D69" i="3"/>
  <c r="G68" i="3"/>
  <c r="D68" i="3"/>
  <c r="G67" i="3"/>
  <c r="D67" i="3"/>
  <c r="G66" i="3"/>
  <c r="D66" i="3"/>
  <c r="G65" i="3"/>
  <c r="D65" i="3"/>
  <c r="G64" i="3"/>
  <c r="D64" i="3"/>
  <c r="G63" i="3"/>
  <c r="D63" i="3"/>
  <c r="G62" i="3"/>
  <c r="D62" i="3"/>
  <c r="G61" i="3"/>
  <c r="D61" i="3"/>
  <c r="G60" i="3"/>
  <c r="D60" i="3"/>
  <c r="G59" i="3"/>
  <c r="D59" i="3"/>
  <c r="G58" i="3"/>
  <c r="D58" i="3"/>
  <c r="G57" i="3"/>
  <c r="D57" i="3"/>
  <c r="G56" i="3"/>
  <c r="D56" i="3"/>
  <c r="G55" i="3"/>
  <c r="D55" i="3"/>
  <c r="G54" i="3"/>
  <c r="D54" i="3"/>
  <c r="G53" i="3"/>
  <c r="D53" i="3"/>
  <c r="G52" i="3"/>
  <c r="D52" i="3"/>
  <c r="G51" i="3"/>
  <c r="D51" i="3"/>
  <c r="G50" i="3"/>
  <c r="D50" i="3"/>
  <c r="G49" i="3"/>
  <c r="D49" i="3"/>
  <c r="G48" i="3"/>
  <c r="D48" i="3"/>
  <c r="G47" i="3"/>
  <c r="D47" i="3"/>
  <c r="G46" i="3"/>
  <c r="D46" i="3"/>
  <c r="G45" i="3"/>
  <c r="D45" i="3"/>
  <c r="G44" i="3"/>
  <c r="D44" i="3"/>
  <c r="G43" i="3"/>
  <c r="D43" i="3"/>
  <c r="G42" i="3"/>
  <c r="D42" i="3"/>
  <c r="G41" i="3"/>
  <c r="D41" i="3"/>
  <c r="G40" i="3"/>
  <c r="D40" i="3"/>
  <c r="G39" i="3"/>
  <c r="D39" i="3"/>
  <c r="G38" i="3"/>
  <c r="D38" i="3"/>
  <c r="G37" i="3"/>
  <c r="D37" i="3"/>
  <c r="G36" i="3"/>
  <c r="D36" i="3"/>
  <c r="G35" i="3"/>
  <c r="D35" i="3"/>
  <c r="G34" i="3"/>
  <c r="D34" i="3"/>
  <c r="G33" i="3"/>
  <c r="D33" i="3"/>
  <c r="G32" i="3"/>
  <c r="D32" i="3"/>
  <c r="G31" i="3"/>
  <c r="D31" i="3"/>
  <c r="G30" i="3"/>
  <c r="D30" i="3"/>
  <c r="G29" i="3"/>
  <c r="D29" i="3"/>
  <c r="G28" i="3"/>
  <c r="D28" i="3"/>
  <c r="G27" i="3"/>
  <c r="D27" i="3"/>
  <c r="G26" i="3"/>
  <c r="D26" i="3"/>
  <c r="G25" i="3"/>
  <c r="D25" i="3"/>
  <c r="G24" i="3"/>
  <c r="D24" i="3"/>
  <c r="G23" i="3"/>
  <c r="D23" i="3"/>
  <c r="G22" i="3"/>
  <c r="D22" i="3"/>
  <c r="G21" i="3"/>
  <c r="D21" i="3"/>
  <c r="G20" i="3"/>
  <c r="D20" i="3"/>
  <c r="G19" i="3"/>
  <c r="D19" i="3"/>
  <c r="G18" i="3"/>
  <c r="D18" i="3"/>
  <c r="G17" i="3"/>
  <c r="D17" i="3"/>
  <c r="G16" i="3"/>
  <c r="D16" i="3"/>
  <c r="G15" i="3"/>
  <c r="D15" i="3"/>
  <c r="G14" i="3"/>
  <c r="D14" i="3"/>
  <c r="G13" i="3"/>
  <c r="D13" i="3"/>
  <c r="G12" i="3"/>
  <c r="D12" i="3"/>
  <c r="G11" i="3"/>
  <c r="D11" i="3"/>
  <c r="G10" i="3"/>
  <c r="D10" i="3"/>
  <c r="G9" i="3"/>
  <c r="D9" i="3"/>
  <c r="G8" i="3"/>
  <c r="D8" i="3"/>
  <c r="G7" i="3"/>
  <c r="D7" i="3"/>
  <c r="G6" i="3"/>
  <c r="D6" i="3"/>
  <c r="G5" i="3"/>
  <c r="D5" i="3"/>
  <c r="G4" i="3"/>
  <c r="D4" i="3"/>
  <c r="G3" i="3"/>
  <c r="D3" i="3"/>
  <c r="G2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AFF5FC-6005-42E7-9348-314FBFA845B0}" name="sys_playcard" type="4" refreshedVersion="0" background="1">
    <webPr xml="1" sourceData="1" url="D:\workplace\Layout\DIYArt\doc\sys_playcard.xml" htmlTables="1" htmlFormat="all"/>
  </connection>
</connections>
</file>

<file path=xl/sharedStrings.xml><?xml version="1.0" encoding="utf-8"?>
<sst xmlns="http://schemas.openxmlformats.org/spreadsheetml/2006/main" count="173" uniqueCount="54">
  <si>
    <t>name</t>
    <phoneticPr fontId="1" type="noConversion"/>
  </si>
  <si>
    <t>type</t>
    <phoneticPr fontId="1" type="noConversion"/>
  </si>
  <si>
    <t>subType</t>
    <phoneticPr fontId="1" type="noConversion"/>
  </si>
  <si>
    <t>number</t>
    <phoneticPr fontId="1" type="noConversion"/>
  </si>
  <si>
    <t>color</t>
    <phoneticPr fontId="1" type="noConversion"/>
  </si>
  <si>
    <t>attRange</t>
    <phoneticPr fontId="1" type="noConversion"/>
  </si>
  <si>
    <t>attDistance</t>
    <phoneticPr fontId="1" type="noConversion"/>
  </si>
  <si>
    <t>defDistance</t>
    <phoneticPr fontId="1" type="noConversion"/>
  </si>
  <si>
    <t>spellId</t>
    <phoneticPr fontId="1" type="noConversion"/>
  </si>
  <si>
    <t>决斗</t>
  </si>
  <si>
    <t>闪</t>
  </si>
  <si>
    <t>顺手牵羊</t>
  </si>
  <si>
    <t>贯石斧</t>
  </si>
  <si>
    <t>杀</t>
  </si>
  <si>
    <t>方天画戟</t>
  </si>
  <si>
    <t>紫騂</t>
  </si>
  <si>
    <t>诸葛连弩</t>
  </si>
  <si>
    <t>桃</t>
  </si>
  <si>
    <t>万箭齐发</t>
  </si>
  <si>
    <t>五谷丰登</t>
  </si>
  <si>
    <t>赤兔</t>
  </si>
  <si>
    <t>乐不思蜀</t>
  </si>
  <si>
    <t>无中生有</t>
  </si>
  <si>
    <t>过河拆桥</t>
  </si>
  <si>
    <t>桃园结义</t>
  </si>
  <si>
    <t>麒麟弓</t>
  </si>
  <si>
    <t>爪黄飞电</t>
  </si>
  <si>
    <t>无懈可击</t>
  </si>
  <si>
    <t>八卦阵</t>
  </si>
  <si>
    <t>的卢</t>
  </si>
  <si>
    <t>南蛮入侵</t>
  </si>
  <si>
    <t>借刀杀人</t>
  </si>
  <si>
    <t>雌雄双股剑</t>
  </si>
  <si>
    <t>绝影</t>
  </si>
  <si>
    <t>青釭剑</t>
  </si>
  <si>
    <t>闪电</t>
  </si>
  <si>
    <t>青龙偃月刀</t>
  </si>
  <si>
    <t>丈八蛇矛</t>
  </si>
  <si>
    <t>大宛</t>
  </si>
  <si>
    <t>仁王盾</t>
  </si>
  <si>
    <t>寒冰剑</t>
  </si>
  <si>
    <t>火攻</t>
  </si>
  <si>
    <t>朱雀羽扇</t>
  </si>
  <si>
    <t>酒</t>
  </si>
  <si>
    <t>骅骝</t>
  </si>
  <si>
    <t>古锭刀</t>
  </si>
  <si>
    <t>藤甲</t>
  </si>
  <si>
    <t>兵粮寸断</t>
  </si>
  <si>
    <t>铁索连环</t>
  </si>
  <si>
    <t>白银狮子</t>
  </si>
  <si>
    <t>id</t>
    <phoneticPr fontId="1" type="noConversion"/>
  </si>
  <si>
    <t>color2</t>
  </si>
  <si>
    <t>type2</t>
  </si>
  <si>
    <t>isTrue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</si>
</sst>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8"/>
      <color theme="1"/>
      <name val="vivo Sans"/>
      <family val="2"/>
      <charset val="134"/>
    </font>
    <font>
      <sz val="9"/>
      <name val="vivo Sans"/>
      <family val="2"/>
      <charset val="134"/>
    </font>
    <font>
      <sz val="18"/>
      <color rgb="FFFF0000"/>
      <name val="vivo Sans"/>
      <family val="2"/>
      <charset val="134"/>
    </font>
    <font>
      <sz val="18"/>
      <color theme="0" tint="-4.9989318521683403E-2"/>
      <name val="vivo San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5">
    <dxf>
      <numFmt numFmtId="0" formatCode="General"/>
    </dxf>
    <dxf>
      <font>
        <strike val="0"/>
        <outline val="0"/>
        <shadow val="0"/>
        <u val="none"/>
        <vertAlign val="baseline"/>
        <sz val="18"/>
        <color theme="0" tint="-4.9989318521683403E-2"/>
        <name val="vivo Sans"/>
        <charset val="134"/>
        <scheme val="none"/>
      </font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8"/>
        <color theme="0" tint="-4.9989318521683403E-2"/>
        <name val="vivo Sans"/>
        <charset val="134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GamePlayCards">
        <xsd:complexType>
          <xsd:sequence minOccurs="0">
            <xsd:element minOccurs="0" maxOccurs="unbounded" nillable="true" name="card" form="unqualified">
              <xsd:complexType>
                <xsd:attribute name="id" form="unqualified" type="xsd:integer"/>
                <xsd:attribute name="name" form="unqualified" type="xsd:string"/>
                <xsd:attribute name="type" form="unqualified" type="xsd:integer"/>
                <xsd:attribute name="subType" form="unqualified" type="xsd:integer"/>
                <xsd:attribute name="exType" form="unqualified" type="xsd:integer"/>
                <xsd:attribute name="number" form="unqualified" type="xsd:integer"/>
                <xsd:attribute name="color" form="unqualified" type="xsd:integer"/>
                <xsd:attribute name="attRange" form="unqualified" type="xsd:integer"/>
                <xsd:attribute name="attDistance" form="unqualified" type="xsd:integer"/>
                <xsd:attribute name="defDistance" form="unqualified" type="xsd:integer"/>
                <xsd:attribute name="spellId" form="unqualified" type="xsd:integer"/>
                <xsd:attribute name="imageId" form="unqualified" type="xsd:integer"/>
                <xsd:attribute name="union" form="unqualified" type="xsd:integer"/>
                <xsd:attribute name="recycle" form="unqualified" type="xsd:string"/>
                <xsd:attribute name="enhanceCond" form="unqualified" type="xsd:integer"/>
                <xsd:attribute name="enhanceEffect" form="unqualified" type="xsd:integer"/>
              </xsd:complexType>
            </xsd:element>
            <xsd:element minOccurs="0" maxOccurs="unbounded" nillable="true" name="card_H5" form="unqualified">
              <xsd:complexType>
                <xsd:attribute name="id" form="unqualified" type="xsd:integer"/>
                <xsd:attribute name="name" form="unqualified" type="xsd:string"/>
                <xsd:attribute name="type" form="unqualified" type="xsd:integer"/>
                <xsd:attribute name="subType" form="unqualified" type="xsd:integer"/>
                <xsd:attribute name="exType" form="unqualified" type="xsd:integer"/>
                <xsd:attribute name="number" form="unqualified" type="xsd:integer"/>
                <xsd:attribute name="color" form="unqualified" type="xsd:integer"/>
                <xsd:attribute name="attRange" form="unqualified" type="xsd:integer"/>
                <xsd:attribute name="attDistance" form="unqualified" type="xsd:integer"/>
                <xsd:attribute name="defDistance" form="unqualified" type="xsd:integer"/>
                <xsd:attribute name="spellId" form="unqualified" type="xsd:integer"/>
                <xsd:attribute name="imageId" form="unqualified" type="xsd:integer"/>
              </xsd:complexType>
            </xsd:element>
          </xsd:sequence>
        </xsd:complexType>
      </xsd:element>
    </xsd:schema>
  </Schema>
  <Map ID="1" Name="GamePlayCards_映射" RootElement="GamePlayCa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005F87-753C-4035-AF28-88921D0D29EA}" name="表1_4" displayName="表1_4" ref="A1:M161" totalsRowShown="0">
  <autoFilter ref="A1:M161" xr:uid="{516B080F-E782-44DC-9583-A7A64AC02D85}"/>
  <sortState ref="A2:M161">
    <sortCondition ref="A1:A161"/>
  </sortState>
  <tableColumns count="13">
    <tableColumn id="12" xr3:uid="{64BBCE38-5936-4C87-AF10-3349147B669B}" name="id"/>
    <tableColumn id="2" xr3:uid="{2EB3C21C-5941-4E90-97BD-C27CBE419CE0}" name="name"/>
    <tableColumn id="7" xr3:uid="{F4F1965D-5402-4058-98C7-57132F18887D}" name="color" dataDxfId="4"/>
    <tableColumn id="30" xr3:uid="{C3FBF4DF-3C39-48B3-BF92-AE40DCD7AD9E}" name="color2" dataDxfId="3">
      <calculatedColumnFormula>_xlfn.SWITCH(表1_4[[#This Row],[color]],1,"♥",2,"♦",3,"♠",4,"♣")</calculatedColumnFormula>
    </tableColumn>
    <tableColumn id="6" xr3:uid="{20FEF319-AA80-4C81-B8DF-08C462A95C10}" name="number" dataDxfId="2"/>
    <tableColumn id="3" xr3:uid="{8828C2AC-F1D7-4175-A020-E4B13A141F3A}" name="type" dataDxfId="1"/>
    <tableColumn id="31" xr3:uid="{E02AAF82-DD05-43E9-8EFC-939F9579270A}" name="type2" dataDxfId="0">
      <calculatedColumnFormula>_xlfn.SWITCH(表1_4[[#This Row],[type]],1,"基本",2,"锦囊",3,"装备")</calculatedColumnFormula>
    </tableColumn>
    <tableColumn id="4" xr3:uid="{B2B49654-EE63-4B5E-A135-25E5EECF1BE2}" name="subType"/>
    <tableColumn id="8" xr3:uid="{B9B6264B-B491-451A-A415-D492C7DF45C7}" name="attRange"/>
    <tableColumn id="9" xr3:uid="{4FF0B498-311B-4782-BACC-D5B8631F833A}" name="attDistance"/>
    <tableColumn id="10" xr3:uid="{BC677E26-FD68-45B3-B840-8749FEFDF591}" name="defDistance"/>
    <tableColumn id="11" xr3:uid="{A05B0A1A-53BB-4EFD-AC2D-FC62A816498E}" name="spellId"/>
    <tableColumn id="1" xr3:uid="{FDE84897-1E68-41E5-9A90-9374A8ECFA32}" name="isTr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主题4">
  <a:themeElements>
    <a:clrScheme name="自信红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FF5033"/>
      </a:accent1>
      <a:accent2>
        <a:srgbClr val="FF9381"/>
      </a:accent2>
      <a:accent3>
        <a:srgbClr val="C81D00"/>
      </a:accent3>
      <a:accent4>
        <a:srgbClr val="FFC261"/>
      </a:accent4>
      <a:accent5>
        <a:srgbClr val="FFD99B"/>
      </a:accent5>
      <a:accent6>
        <a:srgbClr val="FFAC25"/>
      </a:accent6>
      <a:hlink>
        <a:srgbClr val="F49100"/>
      </a:hlink>
      <a:folHlink>
        <a:srgbClr val="85DFD0"/>
      </a:folHlink>
    </a:clrScheme>
    <a:fontScheme name="VIVONOTO">
      <a:majorFont>
        <a:latin typeface="Noto Sans Display ExtraBold"/>
        <a:ea typeface="vivo Sans Extrabold"/>
        <a:cs typeface=""/>
      </a:majorFont>
      <a:minorFont>
        <a:latin typeface="Noto Sans Display"/>
        <a:ea typeface="vivo Sans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主题4" id="{E6A73D6A-F3FB-4B83-8444-54B5FEB86223}" vid="{1223048E-920A-4067-8D8F-53F74A736DB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EA50-A07E-49F2-BF5D-56302F8712A2}">
  <dimension ref="A1:M161"/>
  <sheetViews>
    <sheetView tabSelected="1" workbookViewId="0">
      <selection activeCell="K6" sqref="K6"/>
    </sheetView>
  </sheetViews>
  <sheetFormatPr defaultRowHeight="23.25" x14ac:dyDescent="0.35"/>
  <cols>
    <col min="1" max="1" width="6.06640625" customWidth="1"/>
    <col min="2" max="2" width="12.3984375" bestFit="1" customWidth="1"/>
    <col min="3" max="3" width="6.06640625" style="3" bestFit="1" customWidth="1"/>
    <col min="4" max="4" width="2.6640625" customWidth="1"/>
    <col min="5" max="5" width="3.3984375" customWidth="1"/>
    <col min="6" max="6" width="5.73046875" style="3" customWidth="1"/>
    <col min="7" max="7" width="5.73046875" customWidth="1"/>
    <col min="8" max="8" width="9" bestFit="1" customWidth="1"/>
    <col min="12" max="12" width="8.33203125" bestFit="1" customWidth="1"/>
    <col min="13" max="13" width="7" bestFit="1" customWidth="1"/>
    <col min="15" max="15" width="10.3984375" bestFit="1" customWidth="1"/>
  </cols>
  <sheetData>
    <row r="1" spans="1:13" x14ac:dyDescent="0.35">
      <c r="A1" t="s">
        <v>50</v>
      </c>
      <c r="B1" t="s">
        <v>0</v>
      </c>
      <c r="C1" s="3" t="s">
        <v>4</v>
      </c>
      <c r="D1" t="s">
        <v>51</v>
      </c>
      <c r="E1" t="s">
        <v>3</v>
      </c>
      <c r="F1" s="3" t="s">
        <v>1</v>
      </c>
      <c r="G1" t="s">
        <v>52</v>
      </c>
      <c r="H1" t="s">
        <v>2</v>
      </c>
      <c r="I1" t="s">
        <v>5</v>
      </c>
      <c r="J1" t="s">
        <v>6</v>
      </c>
      <c r="K1" t="s">
        <v>7</v>
      </c>
      <c r="L1" t="s">
        <v>8</v>
      </c>
      <c r="M1" t="s">
        <v>53</v>
      </c>
    </row>
    <row r="2" spans="1:13" x14ac:dyDescent="0.35">
      <c r="A2">
        <v>1</v>
      </c>
      <c r="B2" s="1" t="s">
        <v>9</v>
      </c>
      <c r="C2" s="3">
        <v>2</v>
      </c>
      <c r="D2" s="2" t="str">
        <f>_xlfn.SWITCH(表1_4[[#This Row],[color]],1,"♥",2,"♦",3,"♠",4,"♣")</f>
        <v>♦</v>
      </c>
      <c r="E2">
        <v>1</v>
      </c>
      <c r="F2" s="3">
        <v>2</v>
      </c>
      <c r="G2" t="str">
        <f>_xlfn.SWITCH(表1_4[[#This Row],[type]],1,"基本",2,"锦囊",3,"装备")</f>
        <v>锦囊</v>
      </c>
      <c r="H2">
        <v>0</v>
      </c>
      <c r="I2">
        <v>0</v>
      </c>
      <c r="J2">
        <v>0</v>
      </c>
      <c r="K2">
        <v>0</v>
      </c>
      <c r="L2">
        <v>8</v>
      </c>
      <c r="M2">
        <v>1</v>
      </c>
    </row>
    <row r="3" spans="1:13" x14ac:dyDescent="0.35">
      <c r="A3">
        <v>2</v>
      </c>
      <c r="B3" s="1" t="s">
        <v>10</v>
      </c>
      <c r="C3" s="3">
        <v>2</v>
      </c>
      <c r="D3" s="2" t="str">
        <f>_xlfn.SWITCH(表1_4[[#This Row],[color]],1,"♥",2,"♦",3,"♠",4,"♣")</f>
        <v>♦</v>
      </c>
      <c r="E3">
        <v>2</v>
      </c>
      <c r="F3" s="3">
        <v>1</v>
      </c>
      <c r="G3" t="str">
        <f>_xlfn.SWITCH(表1_4[[#This Row],[type]],1,"基本",2,"锦囊",3,"装备")</f>
        <v>基本</v>
      </c>
      <c r="H3">
        <v>0</v>
      </c>
      <c r="I3">
        <v>0</v>
      </c>
      <c r="J3">
        <v>0</v>
      </c>
      <c r="K3">
        <v>0</v>
      </c>
      <c r="L3">
        <v>2</v>
      </c>
      <c r="M3">
        <v>1</v>
      </c>
    </row>
    <row r="4" spans="1:13" x14ac:dyDescent="0.35">
      <c r="A4">
        <v>3</v>
      </c>
      <c r="B4" s="1" t="s">
        <v>11</v>
      </c>
      <c r="C4" s="3">
        <v>2</v>
      </c>
      <c r="D4" s="2" t="str">
        <f>_xlfn.SWITCH(表1_4[[#This Row],[color]],1,"♥",2,"♦",3,"♠",4,"♣")</f>
        <v>♦</v>
      </c>
      <c r="E4">
        <v>3</v>
      </c>
      <c r="F4" s="3">
        <v>2</v>
      </c>
      <c r="G4" t="str">
        <f>_xlfn.SWITCH(表1_4[[#This Row],[type]],1,"基本",2,"锦囊",3,"装备")</f>
        <v>锦囊</v>
      </c>
      <c r="H4">
        <v>0</v>
      </c>
      <c r="I4">
        <v>0</v>
      </c>
      <c r="J4">
        <v>0</v>
      </c>
      <c r="K4">
        <v>0</v>
      </c>
      <c r="L4">
        <v>4</v>
      </c>
      <c r="M4">
        <v>1</v>
      </c>
    </row>
    <row r="5" spans="1:13" x14ac:dyDescent="0.35">
      <c r="A5">
        <v>4</v>
      </c>
      <c r="B5" s="1" t="s">
        <v>11</v>
      </c>
      <c r="C5" s="3">
        <v>2</v>
      </c>
      <c r="D5" s="2" t="str">
        <f>_xlfn.SWITCH(表1_4[[#This Row],[color]],1,"♥",2,"♦",3,"♠",4,"♣")</f>
        <v>♦</v>
      </c>
      <c r="E5">
        <v>4</v>
      </c>
      <c r="F5" s="3">
        <v>2</v>
      </c>
      <c r="G5" t="str">
        <f>_xlfn.SWITCH(表1_4[[#This Row],[type]],1,"基本",2,"锦囊",3,"装备")</f>
        <v>锦囊</v>
      </c>
      <c r="H5">
        <v>0</v>
      </c>
      <c r="I5">
        <v>0</v>
      </c>
      <c r="J5">
        <v>0</v>
      </c>
      <c r="K5">
        <v>0</v>
      </c>
      <c r="L5">
        <v>4</v>
      </c>
      <c r="M5">
        <v>1</v>
      </c>
    </row>
    <row r="6" spans="1:13" x14ac:dyDescent="0.35">
      <c r="A6">
        <v>5</v>
      </c>
      <c r="B6" s="1" t="s">
        <v>12</v>
      </c>
      <c r="C6" s="3">
        <v>2</v>
      </c>
      <c r="D6" s="2" t="str">
        <f>_xlfn.SWITCH(表1_4[[#This Row],[color]],1,"♥",2,"♦",3,"♠",4,"♣")</f>
        <v>♦</v>
      </c>
      <c r="E6">
        <v>5</v>
      </c>
      <c r="F6" s="3">
        <v>3</v>
      </c>
      <c r="G6" t="str">
        <f>_xlfn.SWITCH(表1_4[[#This Row],[type]],1,"基本",2,"锦囊",3,"装备")</f>
        <v>装备</v>
      </c>
      <c r="H6">
        <v>1</v>
      </c>
      <c r="I6">
        <v>3</v>
      </c>
      <c r="J6">
        <v>0</v>
      </c>
      <c r="K6">
        <v>0</v>
      </c>
      <c r="L6">
        <v>28</v>
      </c>
      <c r="M6">
        <v>1</v>
      </c>
    </row>
    <row r="7" spans="1:13" x14ac:dyDescent="0.35">
      <c r="A7">
        <v>6</v>
      </c>
      <c r="B7" s="1" t="s">
        <v>13</v>
      </c>
      <c r="C7" s="3">
        <v>2</v>
      </c>
      <c r="D7" s="2" t="str">
        <f>_xlfn.SWITCH(表1_4[[#This Row],[color]],1,"♥",2,"♦",3,"♠",4,"♣")</f>
        <v>♦</v>
      </c>
      <c r="E7">
        <v>6</v>
      </c>
      <c r="F7" s="3">
        <v>1</v>
      </c>
      <c r="G7" t="str">
        <f>_xlfn.SWITCH(表1_4[[#This Row],[type]],1,"基本",2,"锦囊",3,"装备")</f>
        <v>基本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 x14ac:dyDescent="0.35">
      <c r="A8">
        <v>7</v>
      </c>
      <c r="B8" s="1" t="s">
        <v>13</v>
      </c>
      <c r="C8" s="3">
        <v>2</v>
      </c>
      <c r="D8" s="2" t="str">
        <f>_xlfn.SWITCH(表1_4[[#This Row],[color]],1,"♥",2,"♦",3,"♠",4,"♣")</f>
        <v>♦</v>
      </c>
      <c r="E8">
        <v>7</v>
      </c>
      <c r="F8" s="3">
        <v>1</v>
      </c>
      <c r="G8" t="str">
        <f>_xlfn.SWITCH(表1_4[[#This Row],[type]],1,"基本",2,"锦囊",3,"装备")</f>
        <v>基本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 x14ac:dyDescent="0.35">
      <c r="A9">
        <v>8</v>
      </c>
      <c r="B9" s="1" t="s">
        <v>13</v>
      </c>
      <c r="C9" s="3">
        <v>2</v>
      </c>
      <c r="D9" s="2" t="str">
        <f>_xlfn.SWITCH(表1_4[[#This Row],[color]],1,"♥",2,"♦",3,"♠",4,"♣")</f>
        <v>♦</v>
      </c>
      <c r="E9">
        <v>8</v>
      </c>
      <c r="F9" s="3">
        <v>1</v>
      </c>
      <c r="G9" t="str">
        <f>_xlfn.SWITCH(表1_4[[#This Row],[type]],1,"基本",2,"锦囊",3,"装备")</f>
        <v>基本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 x14ac:dyDescent="0.35">
      <c r="A10">
        <v>9</v>
      </c>
      <c r="B10" s="1" t="s">
        <v>13</v>
      </c>
      <c r="C10" s="3">
        <v>2</v>
      </c>
      <c r="D10" s="2" t="str">
        <f>_xlfn.SWITCH(表1_4[[#This Row],[color]],1,"♥",2,"♦",3,"♠",4,"♣")</f>
        <v>♦</v>
      </c>
      <c r="E10">
        <v>9</v>
      </c>
      <c r="F10" s="3">
        <v>1</v>
      </c>
      <c r="G10" t="str">
        <f>_xlfn.SWITCH(表1_4[[#This Row],[type]],1,"基本",2,"锦囊",3,"装备")</f>
        <v>基本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 x14ac:dyDescent="0.35">
      <c r="A11">
        <v>10</v>
      </c>
      <c r="B11" s="1" t="s">
        <v>13</v>
      </c>
      <c r="C11" s="3">
        <v>2</v>
      </c>
      <c r="D11" s="2" t="str">
        <f>_xlfn.SWITCH(表1_4[[#This Row],[color]],1,"♥",2,"♦",3,"♠",4,"♣")</f>
        <v>♦</v>
      </c>
      <c r="E11">
        <v>10</v>
      </c>
      <c r="F11" s="3">
        <v>1</v>
      </c>
      <c r="G11" t="str">
        <f>_xlfn.SWITCH(表1_4[[#This Row],[type]],1,"基本",2,"锦囊",3,"装备")</f>
        <v>基本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 x14ac:dyDescent="0.35">
      <c r="A12">
        <v>11</v>
      </c>
      <c r="B12" s="1" t="s">
        <v>10</v>
      </c>
      <c r="C12" s="3">
        <v>2</v>
      </c>
      <c r="D12" s="2" t="str">
        <f>_xlfn.SWITCH(表1_4[[#This Row],[color]],1,"♥",2,"♦",3,"♠",4,"♣")</f>
        <v>♦</v>
      </c>
      <c r="E12">
        <v>11</v>
      </c>
      <c r="F12" s="3">
        <v>1</v>
      </c>
      <c r="G12" t="str">
        <f>_xlfn.SWITCH(表1_4[[#This Row],[type]],1,"基本",2,"锦囊",3,"装备")</f>
        <v>基本</v>
      </c>
      <c r="H12">
        <v>0</v>
      </c>
      <c r="I12">
        <v>0</v>
      </c>
      <c r="J12">
        <v>0</v>
      </c>
      <c r="K12">
        <v>0</v>
      </c>
      <c r="L12">
        <v>2</v>
      </c>
      <c r="M12">
        <v>1</v>
      </c>
    </row>
    <row r="13" spans="1:13" x14ac:dyDescent="0.35">
      <c r="A13">
        <v>12</v>
      </c>
      <c r="B13" s="1" t="s">
        <v>14</v>
      </c>
      <c r="C13" s="3">
        <v>2</v>
      </c>
      <c r="D13" s="2" t="str">
        <f>_xlfn.SWITCH(表1_4[[#This Row],[color]],1,"♥",2,"♦",3,"♠",4,"♣")</f>
        <v>♦</v>
      </c>
      <c r="E13">
        <v>12</v>
      </c>
      <c r="F13" s="3">
        <v>3</v>
      </c>
      <c r="G13" t="str">
        <f>_xlfn.SWITCH(表1_4[[#This Row],[type]],1,"基本",2,"锦囊",3,"装备")</f>
        <v>装备</v>
      </c>
      <c r="H13">
        <v>1</v>
      </c>
      <c r="I13">
        <v>4</v>
      </c>
      <c r="J13">
        <v>0</v>
      </c>
      <c r="K13">
        <v>0</v>
      </c>
      <c r="L13">
        <v>29</v>
      </c>
      <c r="M13">
        <v>1</v>
      </c>
    </row>
    <row r="14" spans="1:13" x14ac:dyDescent="0.35">
      <c r="A14">
        <v>13</v>
      </c>
      <c r="B14" s="1" t="s">
        <v>15</v>
      </c>
      <c r="C14" s="3">
        <v>2</v>
      </c>
      <c r="D14" s="2" t="str">
        <f>_xlfn.SWITCH(表1_4[[#This Row],[color]],1,"♥",2,"♦",3,"♠",4,"♣")</f>
        <v>♦</v>
      </c>
      <c r="E14">
        <v>13</v>
      </c>
      <c r="F14" s="3">
        <v>3</v>
      </c>
      <c r="G14" t="str">
        <f>_xlfn.SWITCH(表1_4[[#This Row],[type]],1,"基本",2,"锦囊",3,"装备")</f>
        <v>装备</v>
      </c>
      <c r="H14">
        <v>4</v>
      </c>
      <c r="I14">
        <v>0</v>
      </c>
      <c r="J14">
        <v>1</v>
      </c>
      <c r="K14">
        <v>0</v>
      </c>
      <c r="L14">
        <v>18</v>
      </c>
      <c r="M14">
        <v>1</v>
      </c>
    </row>
    <row r="15" spans="1:13" x14ac:dyDescent="0.35">
      <c r="A15">
        <v>14</v>
      </c>
      <c r="B15" s="1" t="s">
        <v>16</v>
      </c>
      <c r="C15" s="3">
        <v>2</v>
      </c>
      <c r="D15" s="2" t="str">
        <f>_xlfn.SWITCH(表1_4[[#This Row],[color]],1,"♥",2,"♦",3,"♠",4,"♣")</f>
        <v>♦</v>
      </c>
      <c r="E15">
        <v>1</v>
      </c>
      <c r="F15" s="3">
        <v>3</v>
      </c>
      <c r="G15" t="str">
        <f>_xlfn.SWITCH(表1_4[[#This Row],[type]],1,"基本",2,"锦囊",3,"装备")</f>
        <v>装备</v>
      </c>
      <c r="H15">
        <v>1</v>
      </c>
      <c r="I15">
        <v>1</v>
      </c>
      <c r="J15">
        <v>0</v>
      </c>
      <c r="K15">
        <v>0</v>
      </c>
      <c r="L15">
        <v>23</v>
      </c>
      <c r="M15">
        <v>1</v>
      </c>
    </row>
    <row r="16" spans="1:13" x14ac:dyDescent="0.35">
      <c r="A16">
        <v>15</v>
      </c>
      <c r="B16" s="1" t="s">
        <v>10</v>
      </c>
      <c r="C16" s="3">
        <v>2</v>
      </c>
      <c r="D16" s="2" t="str">
        <f>_xlfn.SWITCH(表1_4[[#This Row],[color]],1,"♥",2,"♦",3,"♠",4,"♣")</f>
        <v>♦</v>
      </c>
      <c r="E16">
        <v>2</v>
      </c>
      <c r="F16" s="3">
        <v>1</v>
      </c>
      <c r="G16" t="str">
        <f>_xlfn.SWITCH(表1_4[[#This Row],[type]],1,"基本",2,"锦囊",3,"装备")</f>
        <v>基本</v>
      </c>
      <c r="H16">
        <v>0</v>
      </c>
      <c r="I16">
        <v>0</v>
      </c>
      <c r="J16">
        <v>0</v>
      </c>
      <c r="K16">
        <v>0</v>
      </c>
      <c r="L16">
        <v>2</v>
      </c>
      <c r="M16">
        <v>1</v>
      </c>
    </row>
    <row r="17" spans="1:13" x14ac:dyDescent="0.35">
      <c r="A17">
        <v>16</v>
      </c>
      <c r="B17" s="1" t="s">
        <v>10</v>
      </c>
      <c r="C17" s="3">
        <v>2</v>
      </c>
      <c r="D17" s="2" t="str">
        <f>_xlfn.SWITCH(表1_4[[#This Row],[color]],1,"♥",2,"♦",3,"♠",4,"♣")</f>
        <v>♦</v>
      </c>
      <c r="E17">
        <v>3</v>
      </c>
      <c r="F17" s="3">
        <v>1</v>
      </c>
      <c r="G17" t="str">
        <f>_xlfn.SWITCH(表1_4[[#This Row],[type]],1,"基本",2,"锦囊",3,"装备")</f>
        <v>基本</v>
      </c>
      <c r="H17">
        <v>0</v>
      </c>
      <c r="I17">
        <v>0</v>
      </c>
      <c r="J17">
        <v>0</v>
      </c>
      <c r="K17">
        <v>0</v>
      </c>
      <c r="L17">
        <v>2</v>
      </c>
      <c r="M17">
        <v>1</v>
      </c>
    </row>
    <row r="18" spans="1:13" x14ac:dyDescent="0.35">
      <c r="A18">
        <v>17</v>
      </c>
      <c r="B18" s="1" t="s">
        <v>10</v>
      </c>
      <c r="C18" s="3">
        <v>2</v>
      </c>
      <c r="D18" s="2" t="str">
        <f>_xlfn.SWITCH(表1_4[[#This Row],[color]],1,"♥",2,"♦",3,"♠",4,"♣")</f>
        <v>♦</v>
      </c>
      <c r="E18">
        <v>4</v>
      </c>
      <c r="F18" s="3">
        <v>1</v>
      </c>
      <c r="G18" t="str">
        <f>_xlfn.SWITCH(表1_4[[#This Row],[type]],1,"基本",2,"锦囊",3,"装备")</f>
        <v>基本</v>
      </c>
      <c r="H18">
        <v>0</v>
      </c>
      <c r="I18">
        <v>0</v>
      </c>
      <c r="J18">
        <v>0</v>
      </c>
      <c r="K18">
        <v>0</v>
      </c>
      <c r="L18">
        <v>2</v>
      </c>
      <c r="M18">
        <v>1</v>
      </c>
    </row>
    <row r="19" spans="1:13" x14ac:dyDescent="0.35">
      <c r="A19">
        <v>18</v>
      </c>
      <c r="B19" s="1" t="s">
        <v>10</v>
      </c>
      <c r="C19" s="3">
        <v>2</v>
      </c>
      <c r="D19" s="2" t="str">
        <f>_xlfn.SWITCH(表1_4[[#This Row],[color]],1,"♥",2,"♦",3,"♠",4,"♣")</f>
        <v>♦</v>
      </c>
      <c r="E19">
        <v>5</v>
      </c>
      <c r="F19" s="3">
        <v>1</v>
      </c>
      <c r="G19" t="str">
        <f>_xlfn.SWITCH(表1_4[[#This Row],[type]],1,"基本",2,"锦囊",3,"装备")</f>
        <v>基本</v>
      </c>
      <c r="H19">
        <v>0</v>
      </c>
      <c r="I19">
        <v>0</v>
      </c>
      <c r="J19">
        <v>0</v>
      </c>
      <c r="K19">
        <v>0</v>
      </c>
      <c r="L19">
        <v>2</v>
      </c>
      <c r="M19">
        <v>1</v>
      </c>
    </row>
    <row r="20" spans="1:13" x14ac:dyDescent="0.35">
      <c r="A20">
        <v>19</v>
      </c>
      <c r="B20" s="1" t="s">
        <v>10</v>
      </c>
      <c r="C20" s="3">
        <v>2</v>
      </c>
      <c r="D20" s="2" t="str">
        <f>_xlfn.SWITCH(表1_4[[#This Row],[color]],1,"♥",2,"♦",3,"♠",4,"♣")</f>
        <v>♦</v>
      </c>
      <c r="E20">
        <v>6</v>
      </c>
      <c r="F20" s="3">
        <v>1</v>
      </c>
      <c r="G20" t="str">
        <f>_xlfn.SWITCH(表1_4[[#This Row],[type]],1,"基本",2,"锦囊",3,"装备")</f>
        <v>基本</v>
      </c>
      <c r="H20">
        <v>0</v>
      </c>
      <c r="I20">
        <v>0</v>
      </c>
      <c r="J20">
        <v>0</v>
      </c>
      <c r="K20">
        <v>0</v>
      </c>
      <c r="L20">
        <v>2</v>
      </c>
      <c r="M20">
        <v>1</v>
      </c>
    </row>
    <row r="21" spans="1:13" x14ac:dyDescent="0.35">
      <c r="A21">
        <v>20</v>
      </c>
      <c r="B21" s="1" t="s">
        <v>10</v>
      </c>
      <c r="C21" s="3">
        <v>2</v>
      </c>
      <c r="D21" s="2" t="str">
        <f>_xlfn.SWITCH(表1_4[[#This Row],[color]],1,"♥",2,"♦",3,"♠",4,"♣")</f>
        <v>♦</v>
      </c>
      <c r="E21">
        <v>7</v>
      </c>
      <c r="F21" s="3">
        <v>1</v>
      </c>
      <c r="G21" t="str">
        <f>_xlfn.SWITCH(表1_4[[#This Row],[type]],1,"基本",2,"锦囊",3,"装备")</f>
        <v>基本</v>
      </c>
      <c r="H21">
        <v>0</v>
      </c>
      <c r="I21">
        <v>0</v>
      </c>
      <c r="J21">
        <v>0</v>
      </c>
      <c r="K21">
        <v>0</v>
      </c>
      <c r="L21">
        <v>2</v>
      </c>
      <c r="M21">
        <v>1</v>
      </c>
    </row>
    <row r="22" spans="1:13" x14ac:dyDescent="0.35">
      <c r="A22">
        <v>21</v>
      </c>
      <c r="B22" s="1" t="s">
        <v>10</v>
      </c>
      <c r="C22" s="3">
        <v>2</v>
      </c>
      <c r="D22" s="2" t="str">
        <f>_xlfn.SWITCH(表1_4[[#This Row],[color]],1,"♥",2,"♦",3,"♠",4,"♣")</f>
        <v>♦</v>
      </c>
      <c r="E22">
        <v>8</v>
      </c>
      <c r="F22" s="3">
        <v>1</v>
      </c>
      <c r="G22" t="str">
        <f>_xlfn.SWITCH(表1_4[[#This Row],[type]],1,"基本",2,"锦囊",3,"装备")</f>
        <v>基本</v>
      </c>
      <c r="H22">
        <v>0</v>
      </c>
      <c r="I22">
        <v>0</v>
      </c>
      <c r="J22">
        <v>0</v>
      </c>
      <c r="K22">
        <v>0</v>
      </c>
      <c r="L22">
        <v>2</v>
      </c>
      <c r="M22">
        <v>1</v>
      </c>
    </row>
    <row r="23" spans="1:13" x14ac:dyDescent="0.35">
      <c r="A23">
        <v>22</v>
      </c>
      <c r="B23" s="1" t="s">
        <v>10</v>
      </c>
      <c r="C23" s="3">
        <v>2</v>
      </c>
      <c r="D23" s="2" t="str">
        <f>_xlfn.SWITCH(表1_4[[#This Row],[color]],1,"♥",2,"♦",3,"♠",4,"♣")</f>
        <v>♦</v>
      </c>
      <c r="E23">
        <v>9</v>
      </c>
      <c r="F23" s="3">
        <v>1</v>
      </c>
      <c r="G23" t="str">
        <f>_xlfn.SWITCH(表1_4[[#This Row],[type]],1,"基本",2,"锦囊",3,"装备")</f>
        <v>基本</v>
      </c>
      <c r="H23">
        <v>0</v>
      </c>
      <c r="I23">
        <v>0</v>
      </c>
      <c r="J23">
        <v>0</v>
      </c>
      <c r="K23">
        <v>0</v>
      </c>
      <c r="L23">
        <v>2</v>
      </c>
      <c r="M23">
        <v>1</v>
      </c>
    </row>
    <row r="24" spans="1:13" x14ac:dyDescent="0.35">
      <c r="A24">
        <v>23</v>
      </c>
      <c r="B24" s="1" t="s">
        <v>10</v>
      </c>
      <c r="C24" s="3">
        <v>2</v>
      </c>
      <c r="D24" s="2" t="str">
        <f>_xlfn.SWITCH(表1_4[[#This Row],[color]],1,"♥",2,"♦",3,"♠",4,"♣")</f>
        <v>♦</v>
      </c>
      <c r="E24">
        <v>10</v>
      </c>
      <c r="F24" s="3">
        <v>1</v>
      </c>
      <c r="G24" t="str">
        <f>_xlfn.SWITCH(表1_4[[#This Row],[type]],1,"基本",2,"锦囊",3,"装备")</f>
        <v>基本</v>
      </c>
      <c r="H24">
        <v>0</v>
      </c>
      <c r="I24">
        <v>0</v>
      </c>
      <c r="J24">
        <v>0</v>
      </c>
      <c r="K24">
        <v>0</v>
      </c>
      <c r="L24">
        <v>2</v>
      </c>
      <c r="M24">
        <v>1</v>
      </c>
    </row>
    <row r="25" spans="1:13" x14ac:dyDescent="0.35">
      <c r="A25">
        <v>24</v>
      </c>
      <c r="B25" s="1" t="s">
        <v>10</v>
      </c>
      <c r="C25" s="3">
        <v>2</v>
      </c>
      <c r="D25" s="2" t="str">
        <f>_xlfn.SWITCH(表1_4[[#This Row],[color]],1,"♥",2,"♦",3,"♠",4,"♣")</f>
        <v>♦</v>
      </c>
      <c r="E25">
        <v>11</v>
      </c>
      <c r="F25" s="3">
        <v>1</v>
      </c>
      <c r="G25" t="str">
        <f>_xlfn.SWITCH(表1_4[[#This Row],[type]],1,"基本",2,"锦囊",3,"装备")</f>
        <v>基本</v>
      </c>
      <c r="H25">
        <v>0</v>
      </c>
      <c r="I25">
        <v>0</v>
      </c>
      <c r="J25">
        <v>0</v>
      </c>
      <c r="K25">
        <v>0</v>
      </c>
      <c r="L25">
        <v>2</v>
      </c>
      <c r="M25">
        <v>1</v>
      </c>
    </row>
    <row r="26" spans="1:13" x14ac:dyDescent="0.35">
      <c r="A26">
        <v>25</v>
      </c>
      <c r="B26" s="1" t="s">
        <v>17</v>
      </c>
      <c r="C26" s="3">
        <v>2</v>
      </c>
      <c r="D26" s="2" t="str">
        <f>_xlfn.SWITCH(表1_4[[#This Row],[color]],1,"♥",2,"♦",3,"♠",4,"♣")</f>
        <v>♦</v>
      </c>
      <c r="E26">
        <v>12</v>
      </c>
      <c r="F26" s="3">
        <v>1</v>
      </c>
      <c r="G26" t="str">
        <f>_xlfn.SWITCH(表1_4[[#This Row],[type]],1,"基本",2,"锦囊",3,"装备")</f>
        <v>基本</v>
      </c>
      <c r="H26">
        <v>0</v>
      </c>
      <c r="I26">
        <v>0</v>
      </c>
      <c r="J26">
        <v>0</v>
      </c>
      <c r="K26">
        <v>0</v>
      </c>
      <c r="L26">
        <v>3</v>
      </c>
      <c r="M26">
        <v>1</v>
      </c>
    </row>
    <row r="27" spans="1:13" x14ac:dyDescent="0.35">
      <c r="A27">
        <v>26</v>
      </c>
      <c r="B27" s="1" t="s">
        <v>13</v>
      </c>
      <c r="C27" s="3">
        <v>2</v>
      </c>
      <c r="D27" s="2" t="str">
        <f>_xlfn.SWITCH(表1_4[[#This Row],[color]],1,"♥",2,"♦",3,"♠",4,"♣")</f>
        <v>♦</v>
      </c>
      <c r="E27">
        <v>13</v>
      </c>
      <c r="F27" s="3">
        <v>1</v>
      </c>
      <c r="G27" t="str">
        <f>_xlfn.SWITCH(表1_4[[#This Row],[type]],1,"基本",2,"锦囊",3,"装备")</f>
        <v>基本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</row>
    <row r="28" spans="1:13" x14ac:dyDescent="0.35">
      <c r="A28">
        <v>27</v>
      </c>
      <c r="B28" s="1" t="s">
        <v>18</v>
      </c>
      <c r="C28" s="3">
        <v>1</v>
      </c>
      <c r="D28" s="2" t="str">
        <f>_xlfn.SWITCH(表1_4[[#This Row],[color]],1,"♥",2,"♦",3,"♠",4,"♣")</f>
        <v>♥</v>
      </c>
      <c r="E28">
        <v>1</v>
      </c>
      <c r="F28" s="3">
        <v>2</v>
      </c>
      <c r="G28" t="str">
        <f>_xlfn.SWITCH(表1_4[[#This Row],[type]],1,"基本",2,"锦囊",3,"装备")</f>
        <v>锦囊</v>
      </c>
      <c r="H28">
        <v>0</v>
      </c>
      <c r="I28">
        <v>0</v>
      </c>
      <c r="J28">
        <v>0</v>
      </c>
      <c r="K28">
        <v>0</v>
      </c>
      <c r="L28">
        <v>10</v>
      </c>
      <c r="M28">
        <v>1</v>
      </c>
    </row>
    <row r="29" spans="1:13" x14ac:dyDescent="0.35">
      <c r="A29">
        <v>28</v>
      </c>
      <c r="B29" s="1" t="s">
        <v>10</v>
      </c>
      <c r="C29" s="3">
        <v>1</v>
      </c>
      <c r="D29" s="2" t="str">
        <f>_xlfn.SWITCH(表1_4[[#This Row],[color]],1,"♥",2,"♦",3,"♠",4,"♣")</f>
        <v>♥</v>
      </c>
      <c r="E29">
        <v>2</v>
      </c>
      <c r="F29" s="3">
        <v>1</v>
      </c>
      <c r="G29" t="str">
        <f>_xlfn.SWITCH(表1_4[[#This Row],[type]],1,"基本",2,"锦囊",3,"装备")</f>
        <v>基本</v>
      </c>
      <c r="H29">
        <v>0</v>
      </c>
      <c r="I29">
        <v>0</v>
      </c>
      <c r="J29">
        <v>0</v>
      </c>
      <c r="K29">
        <v>0</v>
      </c>
      <c r="L29">
        <v>2</v>
      </c>
      <c r="M29">
        <v>1</v>
      </c>
    </row>
    <row r="30" spans="1:13" x14ac:dyDescent="0.35">
      <c r="A30">
        <v>29</v>
      </c>
      <c r="B30" s="1" t="s">
        <v>19</v>
      </c>
      <c r="C30" s="3">
        <v>1</v>
      </c>
      <c r="D30" s="2" t="str">
        <f>_xlfn.SWITCH(表1_4[[#This Row],[color]],1,"♥",2,"♦",3,"♠",4,"♣")</f>
        <v>♥</v>
      </c>
      <c r="E30">
        <v>3</v>
      </c>
      <c r="F30" s="3">
        <v>2</v>
      </c>
      <c r="G30" t="str">
        <f>_xlfn.SWITCH(表1_4[[#This Row],[type]],1,"基本",2,"锦囊",3,"装备")</f>
        <v>锦囊</v>
      </c>
      <c r="H30">
        <v>0</v>
      </c>
      <c r="I30">
        <v>0</v>
      </c>
      <c r="J30">
        <v>0</v>
      </c>
      <c r="K30">
        <v>0</v>
      </c>
      <c r="L30">
        <v>6</v>
      </c>
      <c r="M30">
        <v>1</v>
      </c>
    </row>
    <row r="31" spans="1:13" x14ac:dyDescent="0.35">
      <c r="A31">
        <v>30</v>
      </c>
      <c r="B31" s="1" t="s">
        <v>19</v>
      </c>
      <c r="C31" s="3">
        <v>1</v>
      </c>
      <c r="D31" s="2" t="str">
        <f>_xlfn.SWITCH(表1_4[[#This Row],[color]],1,"♥",2,"♦",3,"♠",4,"♣")</f>
        <v>♥</v>
      </c>
      <c r="E31">
        <v>4</v>
      </c>
      <c r="F31" s="3">
        <v>2</v>
      </c>
      <c r="G31" t="str">
        <f>_xlfn.SWITCH(表1_4[[#This Row],[type]],1,"基本",2,"锦囊",3,"装备")</f>
        <v>锦囊</v>
      </c>
      <c r="H31">
        <v>0</v>
      </c>
      <c r="I31">
        <v>0</v>
      </c>
      <c r="J31">
        <v>0</v>
      </c>
      <c r="K31">
        <v>0</v>
      </c>
      <c r="L31">
        <v>6</v>
      </c>
      <c r="M31">
        <v>1</v>
      </c>
    </row>
    <row r="32" spans="1:13" x14ac:dyDescent="0.35">
      <c r="A32">
        <v>31</v>
      </c>
      <c r="B32" s="1" t="s">
        <v>20</v>
      </c>
      <c r="C32" s="3">
        <v>1</v>
      </c>
      <c r="D32" s="2" t="str">
        <f>_xlfn.SWITCH(表1_4[[#This Row],[color]],1,"♥",2,"♦",3,"♠",4,"♣")</f>
        <v>♥</v>
      </c>
      <c r="E32">
        <v>5</v>
      </c>
      <c r="F32" s="3">
        <v>3</v>
      </c>
      <c r="G32" t="str">
        <f>_xlfn.SWITCH(表1_4[[#This Row],[type]],1,"基本",2,"锦囊",3,"装备")</f>
        <v>装备</v>
      </c>
      <c r="H32">
        <v>4</v>
      </c>
      <c r="I32">
        <v>0</v>
      </c>
      <c r="J32">
        <v>1</v>
      </c>
      <c r="K32">
        <v>0</v>
      </c>
      <c r="L32">
        <v>17</v>
      </c>
      <c r="M32">
        <v>1</v>
      </c>
    </row>
    <row r="33" spans="1:13" x14ac:dyDescent="0.35">
      <c r="A33">
        <v>32</v>
      </c>
      <c r="B33" s="1" t="s">
        <v>21</v>
      </c>
      <c r="C33" s="3">
        <v>1</v>
      </c>
      <c r="D33" s="2" t="str">
        <f>_xlfn.SWITCH(表1_4[[#This Row],[color]],1,"♥",2,"♦",3,"♠",4,"♣")</f>
        <v>♥</v>
      </c>
      <c r="E33">
        <v>6</v>
      </c>
      <c r="F33" s="3">
        <v>2</v>
      </c>
      <c r="G33" t="str">
        <f>_xlfn.SWITCH(表1_4[[#This Row],[type]],1,"基本",2,"锦囊",3,"装备")</f>
        <v>锦囊</v>
      </c>
      <c r="H33">
        <v>5</v>
      </c>
      <c r="I33">
        <v>0</v>
      </c>
      <c r="J33">
        <v>0</v>
      </c>
      <c r="K33">
        <v>0</v>
      </c>
      <c r="L33">
        <v>15</v>
      </c>
      <c r="M33">
        <v>1</v>
      </c>
    </row>
    <row r="34" spans="1:13" x14ac:dyDescent="0.35">
      <c r="A34">
        <v>33</v>
      </c>
      <c r="B34" s="1" t="s">
        <v>22</v>
      </c>
      <c r="C34" s="3">
        <v>1</v>
      </c>
      <c r="D34" s="2" t="str">
        <f>_xlfn.SWITCH(表1_4[[#This Row],[color]],1,"♥",2,"♦",3,"♠",4,"♣")</f>
        <v>♥</v>
      </c>
      <c r="E34">
        <v>7</v>
      </c>
      <c r="F34" s="3">
        <v>2</v>
      </c>
      <c r="G34" t="str">
        <f>_xlfn.SWITCH(表1_4[[#This Row],[type]],1,"基本",2,"锦囊",3,"装备")</f>
        <v>锦囊</v>
      </c>
      <c r="H34">
        <v>0</v>
      </c>
      <c r="I34">
        <v>0</v>
      </c>
      <c r="J34">
        <v>0</v>
      </c>
      <c r="K34">
        <v>0</v>
      </c>
      <c r="L34">
        <v>7</v>
      </c>
      <c r="M34">
        <v>1</v>
      </c>
    </row>
    <row r="35" spans="1:13" x14ac:dyDescent="0.35">
      <c r="A35">
        <v>34</v>
      </c>
      <c r="B35" s="1" t="s">
        <v>22</v>
      </c>
      <c r="C35" s="3">
        <v>1</v>
      </c>
      <c r="D35" s="2" t="str">
        <f>_xlfn.SWITCH(表1_4[[#This Row],[color]],1,"♥",2,"♦",3,"♠",4,"♣")</f>
        <v>♥</v>
      </c>
      <c r="E35">
        <v>8</v>
      </c>
      <c r="F35" s="3">
        <v>2</v>
      </c>
      <c r="G35" t="str">
        <f>_xlfn.SWITCH(表1_4[[#This Row],[type]],1,"基本",2,"锦囊",3,"装备")</f>
        <v>锦囊</v>
      </c>
      <c r="H35">
        <v>0</v>
      </c>
      <c r="I35">
        <v>0</v>
      </c>
      <c r="J35">
        <v>0</v>
      </c>
      <c r="K35">
        <v>0</v>
      </c>
      <c r="L35">
        <v>7</v>
      </c>
      <c r="M35">
        <v>1</v>
      </c>
    </row>
    <row r="36" spans="1:13" x14ac:dyDescent="0.35">
      <c r="A36">
        <v>35</v>
      </c>
      <c r="B36" s="1" t="s">
        <v>22</v>
      </c>
      <c r="C36" s="3">
        <v>1</v>
      </c>
      <c r="D36" s="2" t="str">
        <f>_xlfn.SWITCH(表1_4[[#This Row],[color]],1,"♥",2,"♦",3,"♠",4,"♣")</f>
        <v>♥</v>
      </c>
      <c r="E36">
        <v>9</v>
      </c>
      <c r="F36" s="3">
        <v>2</v>
      </c>
      <c r="G36" t="str">
        <f>_xlfn.SWITCH(表1_4[[#This Row],[type]],1,"基本",2,"锦囊",3,"装备")</f>
        <v>锦囊</v>
      </c>
      <c r="H36">
        <v>0</v>
      </c>
      <c r="I36">
        <v>0</v>
      </c>
      <c r="J36">
        <v>0</v>
      </c>
      <c r="K36">
        <v>0</v>
      </c>
      <c r="L36">
        <v>7</v>
      </c>
      <c r="M36">
        <v>1</v>
      </c>
    </row>
    <row r="37" spans="1:13" x14ac:dyDescent="0.35">
      <c r="A37">
        <v>36</v>
      </c>
      <c r="B37" s="1" t="s">
        <v>13</v>
      </c>
      <c r="C37" s="3">
        <v>1</v>
      </c>
      <c r="D37" s="2" t="str">
        <f>_xlfn.SWITCH(表1_4[[#This Row],[color]],1,"♥",2,"♦",3,"♠",4,"♣")</f>
        <v>♥</v>
      </c>
      <c r="E37">
        <v>10</v>
      </c>
      <c r="F37" s="3">
        <v>1</v>
      </c>
      <c r="G37" t="str">
        <f>_xlfn.SWITCH(表1_4[[#This Row],[type]],1,"基本",2,"锦囊",3,"装备")</f>
        <v>基本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</row>
    <row r="38" spans="1:13" x14ac:dyDescent="0.35">
      <c r="A38">
        <v>37</v>
      </c>
      <c r="B38" s="1" t="s">
        <v>22</v>
      </c>
      <c r="C38" s="3">
        <v>1</v>
      </c>
      <c r="D38" s="2" t="str">
        <f>_xlfn.SWITCH(表1_4[[#This Row],[color]],1,"♥",2,"♦",3,"♠",4,"♣")</f>
        <v>♥</v>
      </c>
      <c r="E38">
        <v>11</v>
      </c>
      <c r="F38" s="3">
        <v>2</v>
      </c>
      <c r="G38" t="str">
        <f>_xlfn.SWITCH(表1_4[[#This Row],[type]],1,"基本",2,"锦囊",3,"装备")</f>
        <v>锦囊</v>
      </c>
      <c r="H38">
        <v>0</v>
      </c>
      <c r="I38">
        <v>0</v>
      </c>
      <c r="J38">
        <v>0</v>
      </c>
      <c r="K38">
        <v>0</v>
      </c>
      <c r="L38">
        <v>7</v>
      </c>
      <c r="M38">
        <v>1</v>
      </c>
    </row>
    <row r="39" spans="1:13" x14ac:dyDescent="0.35">
      <c r="A39">
        <v>38</v>
      </c>
      <c r="B39" s="1" t="s">
        <v>23</v>
      </c>
      <c r="C39" s="3">
        <v>1</v>
      </c>
      <c r="D39" s="2" t="str">
        <f>_xlfn.SWITCH(表1_4[[#This Row],[color]],1,"♥",2,"♦",3,"♠",4,"♣")</f>
        <v>♥</v>
      </c>
      <c r="E39">
        <v>12</v>
      </c>
      <c r="F39" s="3">
        <v>2</v>
      </c>
      <c r="G39" t="str">
        <f>_xlfn.SWITCH(表1_4[[#This Row],[type]],1,"基本",2,"锦囊",3,"装备")</f>
        <v>锦囊</v>
      </c>
      <c r="H39">
        <v>0</v>
      </c>
      <c r="I39">
        <v>0</v>
      </c>
      <c r="J39">
        <v>0</v>
      </c>
      <c r="K39">
        <v>0</v>
      </c>
      <c r="L39">
        <v>5</v>
      </c>
      <c r="M39">
        <v>1</v>
      </c>
    </row>
    <row r="40" spans="1:13" x14ac:dyDescent="0.35">
      <c r="A40">
        <v>39</v>
      </c>
      <c r="B40" s="1" t="s">
        <v>10</v>
      </c>
      <c r="C40" s="3">
        <v>1</v>
      </c>
      <c r="D40" s="2" t="str">
        <f>_xlfn.SWITCH(表1_4[[#This Row],[color]],1,"♥",2,"♦",3,"♠",4,"♣")</f>
        <v>♥</v>
      </c>
      <c r="E40">
        <v>13</v>
      </c>
      <c r="F40" s="3">
        <v>1</v>
      </c>
      <c r="G40" t="str">
        <f>_xlfn.SWITCH(表1_4[[#This Row],[type]],1,"基本",2,"锦囊",3,"装备")</f>
        <v>基本</v>
      </c>
      <c r="H40">
        <v>0</v>
      </c>
      <c r="I40">
        <v>0</v>
      </c>
      <c r="J40">
        <v>0</v>
      </c>
      <c r="K40">
        <v>0</v>
      </c>
      <c r="L40">
        <v>2</v>
      </c>
      <c r="M40">
        <v>1</v>
      </c>
    </row>
    <row r="41" spans="1:13" x14ac:dyDescent="0.35">
      <c r="A41">
        <v>40</v>
      </c>
      <c r="B41" s="1" t="s">
        <v>24</v>
      </c>
      <c r="C41" s="3">
        <v>1</v>
      </c>
      <c r="D41" s="2" t="str">
        <f>_xlfn.SWITCH(表1_4[[#This Row],[color]],1,"♥",2,"♦",3,"♠",4,"♣")</f>
        <v>♥</v>
      </c>
      <c r="E41">
        <v>1</v>
      </c>
      <c r="F41" s="3">
        <v>2</v>
      </c>
      <c r="G41" t="str">
        <f>_xlfn.SWITCH(表1_4[[#This Row],[type]],1,"基本",2,"锦囊",3,"装备")</f>
        <v>锦囊</v>
      </c>
      <c r="H41">
        <v>0</v>
      </c>
      <c r="I41">
        <v>0</v>
      </c>
      <c r="J41">
        <v>0</v>
      </c>
      <c r="K41">
        <v>0</v>
      </c>
      <c r="L41">
        <v>12</v>
      </c>
      <c r="M41">
        <v>1</v>
      </c>
    </row>
    <row r="42" spans="1:13" x14ac:dyDescent="0.35">
      <c r="A42">
        <v>41</v>
      </c>
      <c r="B42" s="1" t="s">
        <v>10</v>
      </c>
      <c r="C42" s="3">
        <v>1</v>
      </c>
      <c r="D42" s="2" t="str">
        <f>_xlfn.SWITCH(表1_4[[#This Row],[color]],1,"♥",2,"♦",3,"♠",4,"♣")</f>
        <v>♥</v>
      </c>
      <c r="E42">
        <v>2</v>
      </c>
      <c r="F42" s="3">
        <v>1</v>
      </c>
      <c r="G42" t="str">
        <f>_xlfn.SWITCH(表1_4[[#This Row],[type]],1,"基本",2,"锦囊",3,"装备")</f>
        <v>基本</v>
      </c>
      <c r="H42">
        <v>0</v>
      </c>
      <c r="I42">
        <v>0</v>
      </c>
      <c r="J42">
        <v>0</v>
      </c>
      <c r="K42">
        <v>0</v>
      </c>
      <c r="L42">
        <v>2</v>
      </c>
      <c r="M42">
        <v>1</v>
      </c>
    </row>
    <row r="43" spans="1:13" x14ac:dyDescent="0.35">
      <c r="A43">
        <v>42</v>
      </c>
      <c r="B43" s="1" t="s">
        <v>17</v>
      </c>
      <c r="C43" s="3">
        <v>1</v>
      </c>
      <c r="D43" s="2" t="str">
        <f>_xlfn.SWITCH(表1_4[[#This Row],[color]],1,"♥",2,"♦",3,"♠",4,"♣")</f>
        <v>♥</v>
      </c>
      <c r="E43">
        <v>3</v>
      </c>
      <c r="F43" s="3">
        <v>1</v>
      </c>
      <c r="G43" t="str">
        <f>_xlfn.SWITCH(表1_4[[#This Row],[type]],1,"基本",2,"锦囊",3,"装备")</f>
        <v>基本</v>
      </c>
      <c r="H43">
        <v>0</v>
      </c>
      <c r="I43">
        <v>0</v>
      </c>
      <c r="J43">
        <v>0</v>
      </c>
      <c r="K43">
        <v>0</v>
      </c>
      <c r="L43">
        <v>3</v>
      </c>
      <c r="M43">
        <v>1</v>
      </c>
    </row>
    <row r="44" spans="1:13" x14ac:dyDescent="0.35">
      <c r="A44">
        <v>43</v>
      </c>
      <c r="B44" s="1" t="s">
        <v>17</v>
      </c>
      <c r="C44" s="3">
        <v>1</v>
      </c>
      <c r="D44" s="2" t="str">
        <f>_xlfn.SWITCH(表1_4[[#This Row],[color]],1,"♥",2,"♦",3,"♠",4,"♣")</f>
        <v>♥</v>
      </c>
      <c r="E44">
        <v>4</v>
      </c>
      <c r="F44" s="3">
        <v>1</v>
      </c>
      <c r="G44" t="str">
        <f>_xlfn.SWITCH(表1_4[[#This Row],[type]],1,"基本",2,"锦囊",3,"装备")</f>
        <v>基本</v>
      </c>
      <c r="H44">
        <v>0</v>
      </c>
      <c r="I44">
        <v>0</v>
      </c>
      <c r="J44">
        <v>0</v>
      </c>
      <c r="K44">
        <v>0</v>
      </c>
      <c r="L44">
        <v>3</v>
      </c>
      <c r="M44">
        <v>1</v>
      </c>
    </row>
    <row r="45" spans="1:13" x14ac:dyDescent="0.35">
      <c r="A45">
        <v>44</v>
      </c>
      <c r="B45" s="1" t="s">
        <v>25</v>
      </c>
      <c r="C45" s="3">
        <v>1</v>
      </c>
      <c r="D45" s="2" t="str">
        <f>_xlfn.SWITCH(表1_4[[#This Row],[color]],1,"♥",2,"♦",3,"♠",4,"♣")</f>
        <v>♥</v>
      </c>
      <c r="E45">
        <v>5</v>
      </c>
      <c r="F45" s="3">
        <v>3</v>
      </c>
      <c r="G45" t="str">
        <f>_xlfn.SWITCH(表1_4[[#This Row],[type]],1,"基本",2,"锦囊",3,"装备")</f>
        <v>装备</v>
      </c>
      <c r="H45">
        <v>1</v>
      </c>
      <c r="I45">
        <v>5</v>
      </c>
      <c r="J45">
        <v>0</v>
      </c>
      <c r="K45">
        <v>0</v>
      </c>
      <c r="L45">
        <v>30</v>
      </c>
      <c r="M45">
        <v>1</v>
      </c>
    </row>
    <row r="46" spans="1:13" x14ac:dyDescent="0.35">
      <c r="A46">
        <v>45</v>
      </c>
      <c r="B46" s="1" t="s">
        <v>17</v>
      </c>
      <c r="C46" s="3">
        <v>1</v>
      </c>
      <c r="D46" s="2" t="str">
        <f>_xlfn.SWITCH(表1_4[[#This Row],[color]],1,"♥",2,"♦",3,"♠",4,"♣")</f>
        <v>♥</v>
      </c>
      <c r="E46">
        <v>6</v>
      </c>
      <c r="F46" s="3">
        <v>1</v>
      </c>
      <c r="G46" t="str">
        <f>_xlfn.SWITCH(表1_4[[#This Row],[type]],1,"基本",2,"锦囊",3,"装备")</f>
        <v>基本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</row>
    <row r="47" spans="1:13" x14ac:dyDescent="0.35">
      <c r="A47">
        <v>46</v>
      </c>
      <c r="B47" s="1" t="s">
        <v>17</v>
      </c>
      <c r="C47" s="3">
        <v>1</v>
      </c>
      <c r="D47" s="2" t="str">
        <f>_xlfn.SWITCH(表1_4[[#This Row],[color]],1,"♥",2,"♦",3,"♠",4,"♣")</f>
        <v>♥</v>
      </c>
      <c r="E47">
        <v>7</v>
      </c>
      <c r="F47" s="3">
        <v>1</v>
      </c>
      <c r="G47" t="str">
        <f>_xlfn.SWITCH(表1_4[[#This Row],[type]],1,"基本",2,"锦囊",3,"装备")</f>
        <v>基本</v>
      </c>
      <c r="H47">
        <v>0</v>
      </c>
      <c r="I47">
        <v>0</v>
      </c>
      <c r="J47">
        <v>0</v>
      </c>
      <c r="K47">
        <v>0</v>
      </c>
      <c r="L47">
        <v>3</v>
      </c>
      <c r="M47">
        <v>1</v>
      </c>
    </row>
    <row r="48" spans="1:13" x14ac:dyDescent="0.35">
      <c r="A48">
        <v>47</v>
      </c>
      <c r="B48" s="1" t="s">
        <v>17</v>
      </c>
      <c r="C48" s="3">
        <v>1</v>
      </c>
      <c r="D48" s="2" t="str">
        <f>_xlfn.SWITCH(表1_4[[#This Row],[color]],1,"♥",2,"♦",3,"♠",4,"♣")</f>
        <v>♥</v>
      </c>
      <c r="E48">
        <v>8</v>
      </c>
      <c r="F48" s="3">
        <v>1</v>
      </c>
      <c r="G48" t="str">
        <f>_xlfn.SWITCH(表1_4[[#This Row],[type]],1,"基本",2,"锦囊",3,"装备")</f>
        <v>基本</v>
      </c>
      <c r="H48">
        <v>0</v>
      </c>
      <c r="I48">
        <v>0</v>
      </c>
      <c r="J48">
        <v>0</v>
      </c>
      <c r="K48">
        <v>0</v>
      </c>
      <c r="L48">
        <v>3</v>
      </c>
      <c r="M48">
        <v>1</v>
      </c>
    </row>
    <row r="49" spans="1:13" x14ac:dyDescent="0.35">
      <c r="A49">
        <v>48</v>
      </c>
      <c r="B49" s="1" t="s">
        <v>17</v>
      </c>
      <c r="C49" s="3">
        <v>1</v>
      </c>
      <c r="D49" s="2" t="str">
        <f>_xlfn.SWITCH(表1_4[[#This Row],[color]],1,"♥",2,"♦",3,"♠",4,"♣")</f>
        <v>♥</v>
      </c>
      <c r="E49">
        <v>9</v>
      </c>
      <c r="F49" s="3">
        <v>1</v>
      </c>
      <c r="G49" t="str">
        <f>_xlfn.SWITCH(表1_4[[#This Row],[type]],1,"基本",2,"锦囊",3,"装备")</f>
        <v>基本</v>
      </c>
      <c r="H49">
        <v>0</v>
      </c>
      <c r="I49">
        <v>0</v>
      </c>
      <c r="J49">
        <v>0</v>
      </c>
      <c r="K49">
        <v>0</v>
      </c>
      <c r="L49">
        <v>3</v>
      </c>
      <c r="M49">
        <v>1</v>
      </c>
    </row>
    <row r="50" spans="1:13" x14ac:dyDescent="0.35">
      <c r="A50">
        <v>49</v>
      </c>
      <c r="B50" s="1" t="s">
        <v>13</v>
      </c>
      <c r="C50" s="3">
        <v>1</v>
      </c>
      <c r="D50" s="2" t="str">
        <f>_xlfn.SWITCH(表1_4[[#This Row],[color]],1,"♥",2,"♦",3,"♠",4,"♣")</f>
        <v>♥</v>
      </c>
      <c r="E50">
        <v>10</v>
      </c>
      <c r="F50" s="3">
        <v>1</v>
      </c>
      <c r="G50" t="str">
        <f>_xlfn.SWITCH(表1_4[[#This Row],[type]],1,"基本",2,"锦囊",3,"装备")</f>
        <v>基本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</row>
    <row r="51" spans="1:13" x14ac:dyDescent="0.35">
      <c r="A51">
        <v>50</v>
      </c>
      <c r="B51" s="1" t="s">
        <v>13</v>
      </c>
      <c r="C51" s="3">
        <v>1</v>
      </c>
      <c r="D51" s="2" t="str">
        <f>_xlfn.SWITCH(表1_4[[#This Row],[color]],1,"♥",2,"♦",3,"♠",4,"♣")</f>
        <v>♥</v>
      </c>
      <c r="E51">
        <v>11</v>
      </c>
      <c r="F51" s="3">
        <v>1</v>
      </c>
      <c r="G51" t="str">
        <f>_xlfn.SWITCH(表1_4[[#This Row],[type]],1,"基本",2,"锦囊",3,"装备")</f>
        <v>基本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</row>
    <row r="52" spans="1:13" x14ac:dyDescent="0.35">
      <c r="A52">
        <v>51</v>
      </c>
      <c r="B52" s="1" t="s">
        <v>17</v>
      </c>
      <c r="C52" s="3">
        <v>1</v>
      </c>
      <c r="D52" s="2" t="str">
        <f>_xlfn.SWITCH(表1_4[[#This Row],[color]],1,"♥",2,"♦",3,"♠",4,"♣")</f>
        <v>♥</v>
      </c>
      <c r="E52">
        <v>12</v>
      </c>
      <c r="F52" s="3">
        <v>1</v>
      </c>
      <c r="G52" t="str">
        <f>_xlfn.SWITCH(表1_4[[#This Row],[type]],1,"基本",2,"锦囊",3,"装备")</f>
        <v>基本</v>
      </c>
      <c r="H52">
        <v>0</v>
      </c>
      <c r="I52">
        <v>0</v>
      </c>
      <c r="J52">
        <v>0</v>
      </c>
      <c r="K52">
        <v>0</v>
      </c>
      <c r="L52">
        <v>3</v>
      </c>
      <c r="M52">
        <v>1</v>
      </c>
    </row>
    <row r="53" spans="1:13" x14ac:dyDescent="0.35">
      <c r="A53">
        <v>52</v>
      </c>
      <c r="B53" s="1" t="s">
        <v>26</v>
      </c>
      <c r="C53" s="3">
        <v>1</v>
      </c>
      <c r="D53" s="2" t="str">
        <f>_xlfn.SWITCH(表1_4[[#This Row],[color]],1,"♥",2,"♦",3,"♠",4,"♣")</f>
        <v>♥</v>
      </c>
      <c r="E53">
        <v>13</v>
      </c>
      <c r="F53" s="3">
        <v>3</v>
      </c>
      <c r="G53" t="str">
        <f>_xlfn.SWITCH(表1_4[[#This Row],[type]],1,"基本",2,"锦囊",3,"装备")</f>
        <v>装备</v>
      </c>
      <c r="H53">
        <v>3</v>
      </c>
      <c r="I53">
        <v>0</v>
      </c>
      <c r="J53">
        <v>0</v>
      </c>
      <c r="K53">
        <v>1</v>
      </c>
      <c r="L53">
        <v>22</v>
      </c>
      <c r="M53">
        <v>1</v>
      </c>
    </row>
    <row r="54" spans="1:13" x14ac:dyDescent="0.35">
      <c r="A54">
        <v>53</v>
      </c>
      <c r="B54" s="1" t="s">
        <v>9</v>
      </c>
      <c r="C54" s="3">
        <v>4</v>
      </c>
      <c r="D54" t="str">
        <f>_xlfn.SWITCH(表1_4[[#This Row],[color]],1,"♥",2,"♦",3,"♠",4,"♣")</f>
        <v>♣</v>
      </c>
      <c r="E54">
        <v>1</v>
      </c>
      <c r="F54" s="3">
        <v>2</v>
      </c>
      <c r="G54" t="str">
        <f>_xlfn.SWITCH(表1_4[[#This Row],[type]],1,"基本",2,"锦囊",3,"装备")</f>
        <v>锦囊</v>
      </c>
      <c r="H54">
        <v>0</v>
      </c>
      <c r="I54">
        <v>0</v>
      </c>
      <c r="J54">
        <v>0</v>
      </c>
      <c r="K54">
        <v>0</v>
      </c>
      <c r="L54">
        <v>8</v>
      </c>
      <c r="M54">
        <v>1</v>
      </c>
    </row>
    <row r="55" spans="1:13" x14ac:dyDescent="0.35">
      <c r="A55">
        <v>54</v>
      </c>
      <c r="B55" s="1" t="s">
        <v>13</v>
      </c>
      <c r="C55" s="3">
        <v>4</v>
      </c>
      <c r="D55" t="str">
        <f>_xlfn.SWITCH(表1_4[[#This Row],[color]],1,"♥",2,"♦",3,"♠",4,"♣")</f>
        <v>♣</v>
      </c>
      <c r="E55">
        <v>2</v>
      </c>
      <c r="F55" s="3">
        <v>1</v>
      </c>
      <c r="G55" t="str">
        <f>_xlfn.SWITCH(表1_4[[#This Row],[type]],1,"基本",2,"锦囊",3,"装备")</f>
        <v>基本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</row>
    <row r="56" spans="1:13" x14ac:dyDescent="0.35">
      <c r="A56">
        <v>55</v>
      </c>
      <c r="B56" s="1" t="s">
        <v>13</v>
      </c>
      <c r="C56" s="3">
        <v>4</v>
      </c>
      <c r="D56" t="str">
        <f>_xlfn.SWITCH(表1_4[[#This Row],[color]],1,"♥",2,"♦",3,"♠",4,"♣")</f>
        <v>♣</v>
      </c>
      <c r="E56">
        <v>3</v>
      </c>
      <c r="F56" s="3">
        <v>1</v>
      </c>
      <c r="G56" t="str">
        <f>_xlfn.SWITCH(表1_4[[#This Row],[type]],1,"基本",2,"锦囊",3,"装备")</f>
        <v>基本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</row>
    <row r="57" spans="1:13" x14ac:dyDescent="0.35">
      <c r="A57">
        <v>56</v>
      </c>
      <c r="B57" s="1" t="s">
        <v>13</v>
      </c>
      <c r="C57" s="3">
        <v>4</v>
      </c>
      <c r="D57" t="str">
        <f>_xlfn.SWITCH(表1_4[[#This Row],[color]],1,"♥",2,"♦",3,"♠",4,"♣")</f>
        <v>♣</v>
      </c>
      <c r="E57">
        <v>4</v>
      </c>
      <c r="F57" s="3">
        <v>1</v>
      </c>
      <c r="G57" t="str">
        <f>_xlfn.SWITCH(表1_4[[#This Row],[type]],1,"基本",2,"锦囊",3,"装备")</f>
        <v>基本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</row>
    <row r="58" spans="1:13" x14ac:dyDescent="0.35">
      <c r="A58">
        <v>57</v>
      </c>
      <c r="B58" s="1" t="s">
        <v>13</v>
      </c>
      <c r="C58" s="3">
        <v>4</v>
      </c>
      <c r="D58" t="str">
        <f>_xlfn.SWITCH(表1_4[[#This Row],[color]],1,"♥",2,"♦",3,"♠",4,"♣")</f>
        <v>♣</v>
      </c>
      <c r="E58">
        <v>5</v>
      </c>
      <c r="F58" s="3">
        <v>1</v>
      </c>
      <c r="G58" t="str">
        <f>_xlfn.SWITCH(表1_4[[#This Row],[type]],1,"基本",2,"锦囊",3,"装备")</f>
        <v>基本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</row>
    <row r="59" spans="1:13" x14ac:dyDescent="0.35">
      <c r="A59">
        <v>58</v>
      </c>
      <c r="B59" s="1" t="s">
        <v>13</v>
      </c>
      <c r="C59" s="3">
        <v>4</v>
      </c>
      <c r="D59" t="str">
        <f>_xlfn.SWITCH(表1_4[[#This Row],[color]],1,"♥",2,"♦",3,"♠",4,"♣")</f>
        <v>♣</v>
      </c>
      <c r="E59">
        <v>6</v>
      </c>
      <c r="F59" s="3">
        <v>1</v>
      </c>
      <c r="G59" t="str">
        <f>_xlfn.SWITCH(表1_4[[#This Row],[type]],1,"基本",2,"锦囊",3,"装备")</f>
        <v>基本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</row>
    <row r="60" spans="1:13" x14ac:dyDescent="0.35">
      <c r="A60">
        <v>59</v>
      </c>
      <c r="B60" s="1" t="s">
        <v>13</v>
      </c>
      <c r="C60" s="3">
        <v>4</v>
      </c>
      <c r="D60" t="str">
        <f>_xlfn.SWITCH(表1_4[[#This Row],[color]],1,"♥",2,"♦",3,"♠",4,"♣")</f>
        <v>♣</v>
      </c>
      <c r="E60">
        <v>7</v>
      </c>
      <c r="F60" s="3">
        <v>1</v>
      </c>
      <c r="G60" t="str">
        <f>_xlfn.SWITCH(表1_4[[#This Row],[type]],1,"基本",2,"锦囊",3,"装备")</f>
        <v>基本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</row>
    <row r="61" spans="1:13" x14ac:dyDescent="0.35">
      <c r="A61">
        <v>60</v>
      </c>
      <c r="B61" s="1" t="s">
        <v>13</v>
      </c>
      <c r="C61" s="3">
        <v>4</v>
      </c>
      <c r="D61" t="str">
        <f>_xlfn.SWITCH(表1_4[[#This Row],[color]],1,"♥",2,"♦",3,"♠",4,"♣")</f>
        <v>♣</v>
      </c>
      <c r="E61">
        <v>8</v>
      </c>
      <c r="F61" s="3">
        <v>1</v>
      </c>
      <c r="G61" t="str">
        <f>_xlfn.SWITCH(表1_4[[#This Row],[type]],1,"基本",2,"锦囊",3,"装备")</f>
        <v>基本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</row>
    <row r="62" spans="1:13" x14ac:dyDescent="0.35">
      <c r="A62">
        <v>61</v>
      </c>
      <c r="B62" s="1" t="s">
        <v>13</v>
      </c>
      <c r="C62" s="3">
        <v>4</v>
      </c>
      <c r="D62" t="str">
        <f>_xlfn.SWITCH(表1_4[[#This Row],[color]],1,"♥",2,"♦",3,"♠",4,"♣")</f>
        <v>♣</v>
      </c>
      <c r="E62">
        <v>9</v>
      </c>
      <c r="F62" s="3">
        <v>1</v>
      </c>
      <c r="G62" t="str">
        <f>_xlfn.SWITCH(表1_4[[#This Row],[type]],1,"基本",2,"锦囊",3,"装备")</f>
        <v>基本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</row>
    <row r="63" spans="1:13" x14ac:dyDescent="0.35">
      <c r="A63">
        <v>62</v>
      </c>
      <c r="B63" s="1" t="s">
        <v>13</v>
      </c>
      <c r="C63" s="3">
        <v>4</v>
      </c>
      <c r="D63" t="str">
        <f>_xlfn.SWITCH(表1_4[[#This Row],[color]],1,"♥",2,"♦",3,"♠",4,"♣")</f>
        <v>♣</v>
      </c>
      <c r="E63">
        <v>10</v>
      </c>
      <c r="F63" s="3">
        <v>1</v>
      </c>
      <c r="G63" t="str">
        <f>_xlfn.SWITCH(表1_4[[#This Row],[type]],1,"基本",2,"锦囊",3,"装备")</f>
        <v>基本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</row>
    <row r="64" spans="1:13" x14ac:dyDescent="0.35">
      <c r="A64">
        <v>63</v>
      </c>
      <c r="B64" s="1" t="s">
        <v>13</v>
      </c>
      <c r="C64" s="3">
        <v>4</v>
      </c>
      <c r="D64" t="str">
        <f>_xlfn.SWITCH(表1_4[[#This Row],[color]],1,"♥",2,"♦",3,"♠",4,"♣")</f>
        <v>♣</v>
      </c>
      <c r="E64">
        <v>11</v>
      </c>
      <c r="F64" s="3">
        <v>1</v>
      </c>
      <c r="G64" t="str">
        <f>_xlfn.SWITCH(表1_4[[#This Row],[type]],1,"基本",2,"锦囊",3,"装备")</f>
        <v>基本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</row>
    <row r="65" spans="1:13" x14ac:dyDescent="0.35">
      <c r="A65">
        <v>64</v>
      </c>
      <c r="B65" s="1" t="s">
        <v>27</v>
      </c>
      <c r="C65" s="3">
        <v>4</v>
      </c>
      <c r="D65" t="str">
        <f>_xlfn.SWITCH(表1_4[[#This Row],[color]],1,"♥",2,"♦",3,"♠",4,"♣")</f>
        <v>♣</v>
      </c>
      <c r="E65">
        <v>12</v>
      </c>
      <c r="F65" s="3">
        <v>2</v>
      </c>
      <c r="G65" t="str">
        <f>_xlfn.SWITCH(表1_4[[#This Row],[type]],1,"基本",2,"锦囊",3,"装备")</f>
        <v>锦囊</v>
      </c>
      <c r="H65">
        <v>0</v>
      </c>
      <c r="I65">
        <v>0</v>
      </c>
      <c r="J65">
        <v>0</v>
      </c>
      <c r="K65">
        <v>0</v>
      </c>
      <c r="L65">
        <v>13</v>
      </c>
      <c r="M65">
        <v>1</v>
      </c>
    </row>
    <row r="66" spans="1:13" x14ac:dyDescent="0.35">
      <c r="A66">
        <v>65</v>
      </c>
      <c r="B66" s="1" t="s">
        <v>27</v>
      </c>
      <c r="C66" s="3">
        <v>4</v>
      </c>
      <c r="D66" t="str">
        <f>_xlfn.SWITCH(表1_4[[#This Row],[color]],1,"♥",2,"♦",3,"♠",4,"♣")</f>
        <v>♣</v>
      </c>
      <c r="E66">
        <v>13</v>
      </c>
      <c r="F66" s="3">
        <v>2</v>
      </c>
      <c r="G66" t="str">
        <f>_xlfn.SWITCH(表1_4[[#This Row],[type]],1,"基本",2,"锦囊",3,"装备")</f>
        <v>锦囊</v>
      </c>
      <c r="H66">
        <v>0</v>
      </c>
      <c r="I66">
        <v>0</v>
      </c>
      <c r="J66">
        <v>0</v>
      </c>
      <c r="K66">
        <v>0</v>
      </c>
      <c r="L66">
        <v>13</v>
      </c>
      <c r="M66">
        <v>1</v>
      </c>
    </row>
    <row r="67" spans="1:13" x14ac:dyDescent="0.35">
      <c r="A67">
        <v>66</v>
      </c>
      <c r="B67" s="1" t="s">
        <v>16</v>
      </c>
      <c r="C67" s="3">
        <v>4</v>
      </c>
      <c r="D67" t="str">
        <f>_xlfn.SWITCH(表1_4[[#This Row],[color]],1,"♥",2,"♦",3,"♠",4,"♣")</f>
        <v>♣</v>
      </c>
      <c r="E67">
        <v>1</v>
      </c>
      <c r="F67" s="3">
        <v>3</v>
      </c>
      <c r="G67" t="str">
        <f>_xlfn.SWITCH(表1_4[[#This Row],[type]],1,"基本",2,"锦囊",3,"装备")</f>
        <v>装备</v>
      </c>
      <c r="H67">
        <v>1</v>
      </c>
      <c r="I67">
        <v>1</v>
      </c>
      <c r="J67">
        <v>0</v>
      </c>
      <c r="K67">
        <v>0</v>
      </c>
      <c r="L67">
        <v>23</v>
      </c>
      <c r="M67">
        <v>1</v>
      </c>
    </row>
    <row r="68" spans="1:13" x14ac:dyDescent="0.35">
      <c r="A68">
        <v>67</v>
      </c>
      <c r="B68" s="1" t="s">
        <v>28</v>
      </c>
      <c r="C68" s="3">
        <v>4</v>
      </c>
      <c r="D68" t="str">
        <f>_xlfn.SWITCH(表1_4[[#This Row],[color]],1,"♥",2,"♦",3,"♠",4,"♣")</f>
        <v>♣</v>
      </c>
      <c r="E68">
        <v>2</v>
      </c>
      <c r="F68" s="3">
        <v>3</v>
      </c>
      <c r="G68" t="str">
        <f>_xlfn.SWITCH(表1_4[[#This Row],[type]],1,"基本",2,"锦囊",3,"装备")</f>
        <v>装备</v>
      </c>
      <c r="H68">
        <v>2</v>
      </c>
      <c r="I68">
        <v>0</v>
      </c>
      <c r="J68">
        <v>0</v>
      </c>
      <c r="K68">
        <v>0</v>
      </c>
      <c r="L68">
        <v>16</v>
      </c>
      <c r="M68">
        <v>1</v>
      </c>
    </row>
    <row r="69" spans="1:13" x14ac:dyDescent="0.35">
      <c r="A69">
        <v>68</v>
      </c>
      <c r="B69" s="1" t="s">
        <v>23</v>
      </c>
      <c r="C69" s="3">
        <v>4</v>
      </c>
      <c r="D69" t="str">
        <f>_xlfn.SWITCH(表1_4[[#This Row],[color]],1,"♥",2,"♦",3,"♠",4,"♣")</f>
        <v>♣</v>
      </c>
      <c r="E69">
        <v>3</v>
      </c>
      <c r="F69" s="3">
        <v>2</v>
      </c>
      <c r="G69" t="str">
        <f>_xlfn.SWITCH(表1_4[[#This Row],[type]],1,"基本",2,"锦囊",3,"装备")</f>
        <v>锦囊</v>
      </c>
      <c r="H69">
        <v>0</v>
      </c>
      <c r="I69">
        <v>0</v>
      </c>
      <c r="J69">
        <v>0</v>
      </c>
      <c r="K69">
        <v>0</v>
      </c>
      <c r="L69">
        <v>5</v>
      </c>
      <c r="M69">
        <v>1</v>
      </c>
    </row>
    <row r="70" spans="1:13" x14ac:dyDescent="0.35">
      <c r="A70">
        <v>69</v>
      </c>
      <c r="B70" s="1" t="s">
        <v>23</v>
      </c>
      <c r="C70" s="3">
        <v>4</v>
      </c>
      <c r="D70" t="str">
        <f>_xlfn.SWITCH(表1_4[[#This Row],[color]],1,"♥",2,"♦",3,"♠",4,"♣")</f>
        <v>♣</v>
      </c>
      <c r="E70">
        <v>4</v>
      </c>
      <c r="F70" s="3">
        <v>2</v>
      </c>
      <c r="G70" t="str">
        <f>_xlfn.SWITCH(表1_4[[#This Row],[type]],1,"基本",2,"锦囊",3,"装备")</f>
        <v>锦囊</v>
      </c>
      <c r="H70">
        <v>0</v>
      </c>
      <c r="I70">
        <v>0</v>
      </c>
      <c r="J70">
        <v>0</v>
      </c>
      <c r="K70">
        <v>0</v>
      </c>
      <c r="L70">
        <v>5</v>
      </c>
      <c r="M70">
        <v>1</v>
      </c>
    </row>
    <row r="71" spans="1:13" x14ac:dyDescent="0.35">
      <c r="A71">
        <v>70</v>
      </c>
      <c r="B71" s="1" t="s">
        <v>29</v>
      </c>
      <c r="C71" s="3">
        <v>4</v>
      </c>
      <c r="D71" t="str">
        <f>_xlfn.SWITCH(表1_4[[#This Row],[color]],1,"♥",2,"♦",3,"♠",4,"♣")</f>
        <v>♣</v>
      </c>
      <c r="E71">
        <v>5</v>
      </c>
      <c r="F71" s="3">
        <v>3</v>
      </c>
      <c r="G71" t="str">
        <f>_xlfn.SWITCH(表1_4[[#This Row],[type]],1,"基本",2,"锦囊",3,"装备")</f>
        <v>装备</v>
      </c>
      <c r="H71">
        <v>3</v>
      </c>
      <c r="I71">
        <v>0</v>
      </c>
      <c r="J71">
        <v>0</v>
      </c>
      <c r="K71">
        <v>1</v>
      </c>
      <c r="L71">
        <v>21</v>
      </c>
      <c r="M71">
        <v>1</v>
      </c>
    </row>
    <row r="72" spans="1:13" x14ac:dyDescent="0.35">
      <c r="A72">
        <v>71</v>
      </c>
      <c r="B72" s="1" t="s">
        <v>21</v>
      </c>
      <c r="C72" s="3">
        <v>4</v>
      </c>
      <c r="D72" t="str">
        <f>_xlfn.SWITCH(表1_4[[#This Row],[color]],1,"♥",2,"♦",3,"♠",4,"♣")</f>
        <v>♣</v>
      </c>
      <c r="E72">
        <v>6</v>
      </c>
      <c r="F72" s="3">
        <v>2</v>
      </c>
      <c r="G72" t="str">
        <f>_xlfn.SWITCH(表1_4[[#This Row],[type]],1,"基本",2,"锦囊",3,"装备")</f>
        <v>锦囊</v>
      </c>
      <c r="H72">
        <v>5</v>
      </c>
      <c r="I72">
        <v>0</v>
      </c>
      <c r="J72">
        <v>0</v>
      </c>
      <c r="K72">
        <v>0</v>
      </c>
      <c r="L72">
        <v>15</v>
      </c>
      <c r="M72">
        <v>1</v>
      </c>
    </row>
    <row r="73" spans="1:13" x14ac:dyDescent="0.35">
      <c r="A73">
        <v>72</v>
      </c>
      <c r="B73" s="1" t="s">
        <v>30</v>
      </c>
      <c r="C73" s="3">
        <v>4</v>
      </c>
      <c r="D73" t="str">
        <f>_xlfn.SWITCH(表1_4[[#This Row],[color]],1,"♥",2,"♦",3,"♠",4,"♣")</f>
        <v>♣</v>
      </c>
      <c r="E73">
        <v>7</v>
      </c>
      <c r="F73" s="3">
        <v>2</v>
      </c>
      <c r="G73" t="str">
        <f>_xlfn.SWITCH(表1_4[[#This Row],[type]],1,"基本",2,"锦囊",3,"装备")</f>
        <v>锦囊</v>
      </c>
      <c r="H73">
        <v>0</v>
      </c>
      <c r="I73">
        <v>0</v>
      </c>
      <c r="J73">
        <v>0</v>
      </c>
      <c r="K73">
        <v>0</v>
      </c>
      <c r="L73">
        <v>9</v>
      </c>
      <c r="M73">
        <v>1</v>
      </c>
    </row>
    <row r="74" spans="1:13" x14ac:dyDescent="0.35">
      <c r="A74">
        <v>73</v>
      </c>
      <c r="B74" s="1" t="s">
        <v>13</v>
      </c>
      <c r="C74" s="3">
        <v>4</v>
      </c>
      <c r="D74" t="str">
        <f>_xlfn.SWITCH(表1_4[[#This Row],[color]],1,"♥",2,"♦",3,"♠",4,"♣")</f>
        <v>♣</v>
      </c>
      <c r="E74">
        <v>8</v>
      </c>
      <c r="F74" s="3">
        <v>1</v>
      </c>
      <c r="G74" t="str">
        <f>_xlfn.SWITCH(表1_4[[#This Row],[type]],1,"基本",2,"锦囊",3,"装备")</f>
        <v>基本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</row>
    <row r="75" spans="1:13" x14ac:dyDescent="0.35">
      <c r="A75">
        <v>74</v>
      </c>
      <c r="B75" s="1" t="s">
        <v>13</v>
      </c>
      <c r="C75" s="3">
        <v>4</v>
      </c>
      <c r="D75" t="str">
        <f>_xlfn.SWITCH(表1_4[[#This Row],[color]],1,"♥",2,"♦",3,"♠",4,"♣")</f>
        <v>♣</v>
      </c>
      <c r="E75">
        <v>9</v>
      </c>
      <c r="F75" s="3">
        <v>1</v>
      </c>
      <c r="G75" t="str">
        <f>_xlfn.SWITCH(表1_4[[#This Row],[type]],1,"基本",2,"锦囊",3,"装备")</f>
        <v>基本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</row>
    <row r="76" spans="1:13" x14ac:dyDescent="0.35">
      <c r="A76">
        <v>75</v>
      </c>
      <c r="B76" s="1" t="s">
        <v>13</v>
      </c>
      <c r="C76" s="3">
        <v>4</v>
      </c>
      <c r="D76" t="str">
        <f>_xlfn.SWITCH(表1_4[[#This Row],[color]],1,"♥",2,"♦",3,"♠",4,"♣")</f>
        <v>♣</v>
      </c>
      <c r="E76">
        <v>10</v>
      </c>
      <c r="F76" s="3">
        <v>1</v>
      </c>
      <c r="G76" t="str">
        <f>_xlfn.SWITCH(表1_4[[#This Row],[type]],1,"基本",2,"锦囊",3,"装备")</f>
        <v>基本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</row>
    <row r="77" spans="1:13" x14ac:dyDescent="0.35">
      <c r="A77">
        <v>76</v>
      </c>
      <c r="B77" s="1" t="s">
        <v>13</v>
      </c>
      <c r="C77" s="3">
        <v>4</v>
      </c>
      <c r="D77" t="str">
        <f>_xlfn.SWITCH(表1_4[[#This Row],[color]],1,"♥",2,"♦",3,"♠",4,"♣")</f>
        <v>♣</v>
      </c>
      <c r="E77">
        <v>11</v>
      </c>
      <c r="F77" s="3">
        <v>1</v>
      </c>
      <c r="G77" t="str">
        <f>_xlfn.SWITCH(表1_4[[#This Row],[type]],1,"基本",2,"锦囊",3,"装备")</f>
        <v>基本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</row>
    <row r="78" spans="1:13" x14ac:dyDescent="0.35">
      <c r="A78">
        <v>77</v>
      </c>
      <c r="B78" s="1" t="s">
        <v>31</v>
      </c>
      <c r="C78" s="3">
        <v>4</v>
      </c>
      <c r="D78" t="str">
        <f>_xlfn.SWITCH(表1_4[[#This Row],[color]],1,"♥",2,"♦",3,"♠",4,"♣")</f>
        <v>♣</v>
      </c>
      <c r="E78">
        <v>12</v>
      </c>
      <c r="F78" s="3">
        <v>2</v>
      </c>
      <c r="G78" t="str">
        <f>_xlfn.SWITCH(表1_4[[#This Row],[type]],1,"基本",2,"锦囊",3,"装备")</f>
        <v>锦囊</v>
      </c>
      <c r="H78">
        <v>0</v>
      </c>
      <c r="I78">
        <v>0</v>
      </c>
      <c r="J78">
        <v>0</v>
      </c>
      <c r="K78">
        <v>0</v>
      </c>
      <c r="L78">
        <v>14</v>
      </c>
      <c r="M78">
        <v>1</v>
      </c>
    </row>
    <row r="79" spans="1:13" x14ac:dyDescent="0.35">
      <c r="A79">
        <v>78</v>
      </c>
      <c r="B79" s="1" t="s">
        <v>31</v>
      </c>
      <c r="C79" s="3">
        <v>4</v>
      </c>
      <c r="D79" t="str">
        <f>_xlfn.SWITCH(表1_4[[#This Row],[color]],1,"♥",2,"♦",3,"♠",4,"♣")</f>
        <v>♣</v>
      </c>
      <c r="E79">
        <v>13</v>
      </c>
      <c r="F79" s="3">
        <v>2</v>
      </c>
      <c r="G79" t="str">
        <f>_xlfn.SWITCH(表1_4[[#This Row],[type]],1,"基本",2,"锦囊",3,"装备")</f>
        <v>锦囊</v>
      </c>
      <c r="H79">
        <v>0</v>
      </c>
      <c r="I79">
        <v>0</v>
      </c>
      <c r="J79">
        <v>0</v>
      </c>
      <c r="K79">
        <v>0</v>
      </c>
      <c r="L79">
        <v>14</v>
      </c>
      <c r="M79">
        <v>1</v>
      </c>
    </row>
    <row r="80" spans="1:13" x14ac:dyDescent="0.35">
      <c r="A80">
        <v>79</v>
      </c>
      <c r="B80" s="1" t="s">
        <v>9</v>
      </c>
      <c r="C80" s="3">
        <v>3</v>
      </c>
      <c r="D80" t="str">
        <f>_xlfn.SWITCH(表1_4[[#This Row],[color]],1,"♥",2,"♦",3,"♠",4,"♣")</f>
        <v>♠</v>
      </c>
      <c r="E80">
        <v>1</v>
      </c>
      <c r="F80" s="3">
        <v>2</v>
      </c>
      <c r="G80" t="str">
        <f>_xlfn.SWITCH(表1_4[[#This Row],[type]],1,"基本",2,"锦囊",3,"装备")</f>
        <v>锦囊</v>
      </c>
      <c r="H80">
        <v>0</v>
      </c>
      <c r="I80">
        <v>0</v>
      </c>
      <c r="J80">
        <v>0</v>
      </c>
      <c r="K80">
        <v>0</v>
      </c>
      <c r="L80">
        <v>8</v>
      </c>
      <c r="M80">
        <v>1</v>
      </c>
    </row>
    <row r="81" spans="1:13" x14ac:dyDescent="0.35">
      <c r="A81">
        <v>80</v>
      </c>
      <c r="B81" s="1" t="s">
        <v>32</v>
      </c>
      <c r="C81" s="3">
        <v>3</v>
      </c>
      <c r="D81" t="str">
        <f>_xlfn.SWITCH(表1_4[[#This Row],[color]],1,"♥",2,"♦",3,"♠",4,"♣")</f>
        <v>♠</v>
      </c>
      <c r="E81">
        <v>2</v>
      </c>
      <c r="F81" s="3">
        <v>3</v>
      </c>
      <c r="G81" t="str">
        <f>_xlfn.SWITCH(表1_4[[#This Row],[type]],1,"基本",2,"锦囊",3,"装备")</f>
        <v>装备</v>
      </c>
      <c r="H81">
        <v>1</v>
      </c>
      <c r="I81">
        <v>2</v>
      </c>
      <c r="J81">
        <v>0</v>
      </c>
      <c r="K81">
        <v>0</v>
      </c>
      <c r="L81">
        <v>24</v>
      </c>
      <c r="M81">
        <v>1</v>
      </c>
    </row>
    <row r="82" spans="1:13" x14ac:dyDescent="0.35">
      <c r="A82">
        <v>81</v>
      </c>
      <c r="B82" s="1" t="s">
        <v>11</v>
      </c>
      <c r="C82" s="3">
        <v>3</v>
      </c>
      <c r="D82" t="str">
        <f>_xlfn.SWITCH(表1_4[[#This Row],[color]],1,"♥",2,"♦",3,"♠",4,"♣")</f>
        <v>♠</v>
      </c>
      <c r="E82">
        <v>3</v>
      </c>
      <c r="F82" s="3">
        <v>2</v>
      </c>
      <c r="G82" t="str">
        <f>_xlfn.SWITCH(表1_4[[#This Row],[type]],1,"基本",2,"锦囊",3,"装备")</f>
        <v>锦囊</v>
      </c>
      <c r="H82">
        <v>0</v>
      </c>
      <c r="I82">
        <v>0</v>
      </c>
      <c r="J82">
        <v>0</v>
      </c>
      <c r="K82">
        <v>0</v>
      </c>
      <c r="L82">
        <v>4</v>
      </c>
      <c r="M82">
        <v>0</v>
      </c>
    </row>
    <row r="83" spans="1:13" x14ac:dyDescent="0.35">
      <c r="A83">
        <v>82</v>
      </c>
      <c r="B83" s="1" t="s">
        <v>11</v>
      </c>
      <c r="C83" s="3">
        <v>3</v>
      </c>
      <c r="D83" t="str">
        <f>_xlfn.SWITCH(表1_4[[#This Row],[color]],1,"♥",2,"♦",3,"♠",4,"♣")</f>
        <v>♠</v>
      </c>
      <c r="E83">
        <v>4</v>
      </c>
      <c r="F83" s="3">
        <v>2</v>
      </c>
      <c r="G83" t="str">
        <f>_xlfn.SWITCH(表1_4[[#This Row],[type]],1,"基本",2,"锦囊",3,"装备")</f>
        <v>锦囊</v>
      </c>
      <c r="H83">
        <v>0</v>
      </c>
      <c r="I83">
        <v>0</v>
      </c>
      <c r="J83">
        <v>0</v>
      </c>
      <c r="K83">
        <v>0</v>
      </c>
      <c r="L83">
        <v>4</v>
      </c>
      <c r="M83">
        <v>0</v>
      </c>
    </row>
    <row r="84" spans="1:13" x14ac:dyDescent="0.35">
      <c r="A84">
        <v>83</v>
      </c>
      <c r="B84" s="1" t="s">
        <v>33</v>
      </c>
      <c r="C84" s="3">
        <v>3</v>
      </c>
      <c r="D84" t="str">
        <f>_xlfn.SWITCH(表1_4[[#This Row],[color]],1,"♥",2,"♦",3,"♠",4,"♣")</f>
        <v>♠</v>
      </c>
      <c r="E84">
        <v>5</v>
      </c>
      <c r="F84" s="3">
        <v>3</v>
      </c>
      <c r="G84" t="str">
        <f>_xlfn.SWITCH(表1_4[[#This Row],[type]],1,"基本",2,"锦囊",3,"装备")</f>
        <v>装备</v>
      </c>
      <c r="H84">
        <v>3</v>
      </c>
      <c r="I84">
        <v>0</v>
      </c>
      <c r="J84">
        <v>0</v>
      </c>
      <c r="K84">
        <v>1</v>
      </c>
      <c r="L84">
        <v>20</v>
      </c>
      <c r="M84">
        <v>0</v>
      </c>
    </row>
    <row r="85" spans="1:13" x14ac:dyDescent="0.35">
      <c r="A85">
        <v>84</v>
      </c>
      <c r="B85" s="1" t="s">
        <v>34</v>
      </c>
      <c r="C85" s="3">
        <v>3</v>
      </c>
      <c r="D85" t="str">
        <f>_xlfn.SWITCH(表1_4[[#This Row],[color]],1,"♥",2,"♦",3,"♠",4,"♣")</f>
        <v>♠</v>
      </c>
      <c r="E85">
        <v>6</v>
      </c>
      <c r="F85" s="3">
        <v>3</v>
      </c>
      <c r="G85" t="str">
        <f>_xlfn.SWITCH(表1_4[[#This Row],[type]],1,"基本",2,"锦囊",3,"装备")</f>
        <v>装备</v>
      </c>
      <c r="H85">
        <v>1</v>
      </c>
      <c r="I85">
        <v>2</v>
      </c>
      <c r="J85">
        <v>0</v>
      </c>
      <c r="K85">
        <v>0</v>
      </c>
      <c r="L85">
        <v>25</v>
      </c>
      <c r="M85">
        <v>0</v>
      </c>
    </row>
    <row r="86" spans="1:13" x14ac:dyDescent="0.35">
      <c r="A86">
        <v>85</v>
      </c>
      <c r="B86" s="1" t="s">
        <v>13</v>
      </c>
      <c r="C86" s="3">
        <v>3</v>
      </c>
      <c r="D86" t="str">
        <f>_xlfn.SWITCH(表1_4[[#This Row],[color]],1,"♥",2,"♦",3,"♠",4,"♣")</f>
        <v>♠</v>
      </c>
      <c r="E86">
        <v>7</v>
      </c>
      <c r="F86" s="3">
        <v>1</v>
      </c>
      <c r="G86" t="str">
        <f>_xlfn.SWITCH(表1_4[[#This Row],[type]],1,"基本",2,"锦囊",3,"装备")</f>
        <v>基本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</row>
    <row r="87" spans="1:13" x14ac:dyDescent="0.35">
      <c r="A87">
        <v>86</v>
      </c>
      <c r="B87" s="1" t="s">
        <v>13</v>
      </c>
      <c r="C87" s="3">
        <v>3</v>
      </c>
      <c r="D87" t="str">
        <f>_xlfn.SWITCH(表1_4[[#This Row],[color]],1,"♥",2,"♦",3,"♠",4,"♣")</f>
        <v>♠</v>
      </c>
      <c r="E87">
        <v>8</v>
      </c>
      <c r="F87" s="3">
        <v>1</v>
      </c>
      <c r="G87" t="str">
        <f>_xlfn.SWITCH(表1_4[[#This Row],[type]],1,"基本",2,"锦囊",3,"装备")</f>
        <v>基本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</row>
    <row r="88" spans="1:13" x14ac:dyDescent="0.35">
      <c r="A88">
        <v>87</v>
      </c>
      <c r="B88" s="1" t="s">
        <v>13</v>
      </c>
      <c r="C88" s="3">
        <v>3</v>
      </c>
      <c r="D88" t="str">
        <f>_xlfn.SWITCH(表1_4[[#This Row],[color]],1,"♥",2,"♦",3,"♠",4,"♣")</f>
        <v>♠</v>
      </c>
      <c r="E88">
        <v>9</v>
      </c>
      <c r="F88" s="3">
        <v>1</v>
      </c>
      <c r="G88" t="str">
        <f>_xlfn.SWITCH(表1_4[[#This Row],[type]],1,"基本",2,"锦囊",3,"装备")</f>
        <v>基本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</row>
    <row r="89" spans="1:13" x14ac:dyDescent="0.35">
      <c r="A89">
        <v>88</v>
      </c>
      <c r="B89" s="1" t="s">
        <v>13</v>
      </c>
      <c r="C89" s="3">
        <v>3</v>
      </c>
      <c r="D89" t="str">
        <f>_xlfn.SWITCH(表1_4[[#This Row],[color]],1,"♥",2,"♦",3,"♠",4,"♣")</f>
        <v>♠</v>
      </c>
      <c r="E89">
        <v>10</v>
      </c>
      <c r="F89" s="3">
        <v>1</v>
      </c>
      <c r="G89" t="str">
        <f>_xlfn.SWITCH(表1_4[[#This Row],[type]],1,"基本",2,"锦囊",3,"装备")</f>
        <v>基本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</row>
    <row r="90" spans="1:13" x14ac:dyDescent="0.35">
      <c r="A90">
        <v>89</v>
      </c>
      <c r="B90" s="1" t="s">
        <v>11</v>
      </c>
      <c r="C90" s="3">
        <v>3</v>
      </c>
      <c r="D90" t="str">
        <f>_xlfn.SWITCH(表1_4[[#This Row],[color]],1,"♥",2,"♦",3,"♠",4,"♣")</f>
        <v>♠</v>
      </c>
      <c r="E90">
        <v>11</v>
      </c>
      <c r="F90" s="3">
        <v>2</v>
      </c>
      <c r="G90" t="str">
        <f>_xlfn.SWITCH(表1_4[[#This Row],[type]],1,"基本",2,"锦囊",3,"装备")</f>
        <v>锦囊</v>
      </c>
      <c r="H90">
        <v>0</v>
      </c>
      <c r="I90">
        <v>0</v>
      </c>
      <c r="J90">
        <v>0</v>
      </c>
      <c r="K90">
        <v>0</v>
      </c>
      <c r="L90">
        <v>4</v>
      </c>
      <c r="M90">
        <v>0</v>
      </c>
    </row>
    <row r="91" spans="1:13" x14ac:dyDescent="0.35">
      <c r="A91">
        <v>90</v>
      </c>
      <c r="B91" s="1" t="s">
        <v>23</v>
      </c>
      <c r="C91" s="3">
        <v>3</v>
      </c>
      <c r="D91" t="str">
        <f>_xlfn.SWITCH(表1_4[[#This Row],[color]],1,"♥",2,"♦",3,"♠",4,"♣")</f>
        <v>♠</v>
      </c>
      <c r="E91">
        <v>12</v>
      </c>
      <c r="F91" s="3">
        <v>2</v>
      </c>
      <c r="G91" t="str">
        <f>_xlfn.SWITCH(表1_4[[#This Row],[type]],1,"基本",2,"锦囊",3,"装备")</f>
        <v>锦囊</v>
      </c>
      <c r="H91">
        <v>0</v>
      </c>
      <c r="I91">
        <v>0</v>
      </c>
      <c r="J91">
        <v>0</v>
      </c>
      <c r="K91">
        <v>0</v>
      </c>
      <c r="L91">
        <v>5</v>
      </c>
      <c r="M91">
        <v>0</v>
      </c>
    </row>
    <row r="92" spans="1:13" x14ac:dyDescent="0.35">
      <c r="A92">
        <v>91</v>
      </c>
      <c r="B92" s="1" t="s">
        <v>30</v>
      </c>
      <c r="C92" s="3">
        <v>3</v>
      </c>
      <c r="D92" t="str">
        <f>_xlfn.SWITCH(表1_4[[#This Row],[color]],1,"♥",2,"♦",3,"♠",4,"♣")</f>
        <v>♠</v>
      </c>
      <c r="E92">
        <v>13</v>
      </c>
      <c r="F92" s="3">
        <v>2</v>
      </c>
      <c r="G92" t="str">
        <f>_xlfn.SWITCH(表1_4[[#This Row],[type]],1,"基本",2,"锦囊",3,"装备")</f>
        <v>锦囊</v>
      </c>
      <c r="H92">
        <v>0</v>
      </c>
      <c r="I92">
        <v>0</v>
      </c>
      <c r="J92">
        <v>0</v>
      </c>
      <c r="K92">
        <v>0</v>
      </c>
      <c r="L92">
        <v>9</v>
      </c>
      <c r="M92">
        <v>0</v>
      </c>
    </row>
    <row r="93" spans="1:13" x14ac:dyDescent="0.35">
      <c r="A93">
        <v>92</v>
      </c>
      <c r="B93" s="1" t="s">
        <v>35</v>
      </c>
      <c r="C93" s="3">
        <v>3</v>
      </c>
      <c r="D93" t="str">
        <f>_xlfn.SWITCH(表1_4[[#This Row],[color]],1,"♥",2,"♦",3,"♠",4,"♣")</f>
        <v>♠</v>
      </c>
      <c r="E93">
        <v>1</v>
      </c>
      <c r="F93" s="3">
        <v>2</v>
      </c>
      <c r="G93" t="str">
        <f>_xlfn.SWITCH(表1_4[[#This Row],[type]],1,"基本",2,"锦囊",3,"装备")</f>
        <v>锦囊</v>
      </c>
      <c r="H93">
        <v>5</v>
      </c>
      <c r="I93">
        <v>0</v>
      </c>
      <c r="J93">
        <v>0</v>
      </c>
      <c r="K93">
        <v>0</v>
      </c>
      <c r="L93">
        <v>11</v>
      </c>
      <c r="M93">
        <v>0</v>
      </c>
    </row>
    <row r="94" spans="1:13" x14ac:dyDescent="0.35">
      <c r="A94">
        <v>93</v>
      </c>
      <c r="B94" s="1" t="s">
        <v>28</v>
      </c>
      <c r="C94" s="3">
        <v>3</v>
      </c>
      <c r="D94" t="str">
        <f>_xlfn.SWITCH(表1_4[[#This Row],[color]],1,"♥",2,"♦",3,"♠",4,"♣")</f>
        <v>♠</v>
      </c>
      <c r="E94">
        <v>2</v>
      </c>
      <c r="F94" s="3">
        <v>3</v>
      </c>
      <c r="G94" t="str">
        <f>_xlfn.SWITCH(表1_4[[#This Row],[type]],1,"基本",2,"锦囊",3,"装备")</f>
        <v>装备</v>
      </c>
      <c r="H94">
        <v>2</v>
      </c>
      <c r="I94">
        <v>0</v>
      </c>
      <c r="J94">
        <v>0</v>
      </c>
      <c r="K94">
        <v>0</v>
      </c>
      <c r="L94">
        <v>16</v>
      </c>
      <c r="M94">
        <v>0</v>
      </c>
    </row>
    <row r="95" spans="1:13" x14ac:dyDescent="0.35">
      <c r="A95">
        <v>94</v>
      </c>
      <c r="B95" s="1" t="s">
        <v>23</v>
      </c>
      <c r="C95" s="3">
        <v>3</v>
      </c>
      <c r="D95" t="str">
        <f>_xlfn.SWITCH(表1_4[[#This Row],[color]],1,"♥",2,"♦",3,"♠",4,"♣")</f>
        <v>♠</v>
      </c>
      <c r="E95">
        <v>3</v>
      </c>
      <c r="F95" s="3">
        <v>2</v>
      </c>
      <c r="G95" t="str">
        <f>_xlfn.SWITCH(表1_4[[#This Row],[type]],1,"基本",2,"锦囊",3,"装备")</f>
        <v>锦囊</v>
      </c>
      <c r="H95">
        <v>0</v>
      </c>
      <c r="I95">
        <v>0</v>
      </c>
      <c r="J95">
        <v>0</v>
      </c>
      <c r="K95">
        <v>0</v>
      </c>
      <c r="L95">
        <v>5</v>
      </c>
      <c r="M95">
        <v>0</v>
      </c>
    </row>
    <row r="96" spans="1:13" x14ac:dyDescent="0.35">
      <c r="A96">
        <v>95</v>
      </c>
      <c r="B96" s="1" t="s">
        <v>23</v>
      </c>
      <c r="C96" s="3">
        <v>3</v>
      </c>
      <c r="D96" t="str">
        <f>_xlfn.SWITCH(表1_4[[#This Row],[color]],1,"♥",2,"♦",3,"♠",4,"♣")</f>
        <v>♠</v>
      </c>
      <c r="E96">
        <v>4</v>
      </c>
      <c r="F96" s="3">
        <v>2</v>
      </c>
      <c r="G96" t="str">
        <f>_xlfn.SWITCH(表1_4[[#This Row],[type]],1,"基本",2,"锦囊",3,"装备")</f>
        <v>锦囊</v>
      </c>
      <c r="H96">
        <v>0</v>
      </c>
      <c r="I96">
        <v>0</v>
      </c>
      <c r="J96">
        <v>0</v>
      </c>
      <c r="K96">
        <v>0</v>
      </c>
      <c r="L96">
        <v>5</v>
      </c>
      <c r="M96">
        <v>0</v>
      </c>
    </row>
    <row r="97" spans="1:13" x14ac:dyDescent="0.35">
      <c r="A97">
        <v>96</v>
      </c>
      <c r="B97" s="1" t="s">
        <v>36</v>
      </c>
      <c r="C97" s="3">
        <v>3</v>
      </c>
      <c r="D97" t="str">
        <f>_xlfn.SWITCH(表1_4[[#This Row],[color]],1,"♥",2,"♦",3,"♠",4,"♣")</f>
        <v>♠</v>
      </c>
      <c r="E97">
        <v>5</v>
      </c>
      <c r="F97" s="3">
        <v>3</v>
      </c>
      <c r="G97" t="str">
        <f>_xlfn.SWITCH(表1_4[[#This Row],[type]],1,"基本",2,"锦囊",3,"装备")</f>
        <v>装备</v>
      </c>
      <c r="H97">
        <v>1</v>
      </c>
      <c r="I97">
        <v>3</v>
      </c>
      <c r="J97">
        <v>0</v>
      </c>
      <c r="K97">
        <v>0</v>
      </c>
      <c r="L97">
        <v>26</v>
      </c>
      <c r="M97">
        <v>0</v>
      </c>
    </row>
    <row r="98" spans="1:13" x14ac:dyDescent="0.35">
      <c r="A98">
        <v>97</v>
      </c>
      <c r="B98" s="1" t="s">
        <v>21</v>
      </c>
      <c r="C98" s="3">
        <v>3</v>
      </c>
      <c r="D98" t="str">
        <f>_xlfn.SWITCH(表1_4[[#This Row],[color]],1,"♥",2,"♦",3,"♠",4,"♣")</f>
        <v>♠</v>
      </c>
      <c r="E98">
        <v>6</v>
      </c>
      <c r="F98" s="3">
        <v>2</v>
      </c>
      <c r="G98" t="str">
        <f>_xlfn.SWITCH(表1_4[[#This Row],[type]],1,"基本",2,"锦囊",3,"装备")</f>
        <v>锦囊</v>
      </c>
      <c r="H98">
        <v>5</v>
      </c>
      <c r="I98">
        <v>0</v>
      </c>
      <c r="J98">
        <v>0</v>
      </c>
      <c r="K98">
        <v>0</v>
      </c>
      <c r="L98">
        <v>15</v>
      </c>
      <c r="M98">
        <v>0</v>
      </c>
    </row>
    <row r="99" spans="1:13" x14ac:dyDescent="0.35">
      <c r="A99">
        <v>98</v>
      </c>
      <c r="B99" s="1" t="s">
        <v>30</v>
      </c>
      <c r="C99" s="3">
        <v>3</v>
      </c>
      <c r="D99" t="str">
        <f>_xlfn.SWITCH(表1_4[[#This Row],[color]],1,"♥",2,"♦",3,"♠",4,"♣")</f>
        <v>♠</v>
      </c>
      <c r="E99">
        <v>7</v>
      </c>
      <c r="F99" s="3">
        <v>2</v>
      </c>
      <c r="G99" t="str">
        <f>_xlfn.SWITCH(表1_4[[#This Row],[type]],1,"基本",2,"锦囊",3,"装备")</f>
        <v>锦囊</v>
      </c>
      <c r="H99">
        <v>0</v>
      </c>
      <c r="I99">
        <v>0</v>
      </c>
      <c r="J99">
        <v>0</v>
      </c>
      <c r="K99">
        <v>0</v>
      </c>
      <c r="L99">
        <v>9</v>
      </c>
      <c r="M99">
        <v>0</v>
      </c>
    </row>
    <row r="100" spans="1:13" x14ac:dyDescent="0.35">
      <c r="A100">
        <v>99</v>
      </c>
      <c r="B100" s="1" t="s">
        <v>13</v>
      </c>
      <c r="C100" s="3">
        <v>3</v>
      </c>
      <c r="D100" t="str">
        <f>_xlfn.SWITCH(表1_4[[#This Row],[color]],1,"♥",2,"♦",3,"♠",4,"♣")</f>
        <v>♠</v>
      </c>
      <c r="E100">
        <v>8</v>
      </c>
      <c r="F100" s="3">
        <v>1</v>
      </c>
      <c r="G100" t="str">
        <f>_xlfn.SWITCH(表1_4[[#This Row],[type]],1,"基本",2,"锦囊",3,"装备")</f>
        <v>基本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</row>
    <row r="101" spans="1:13" x14ac:dyDescent="0.35">
      <c r="A101">
        <v>100</v>
      </c>
      <c r="B101" s="1" t="s">
        <v>13</v>
      </c>
      <c r="C101" s="3">
        <v>3</v>
      </c>
      <c r="D101" t="str">
        <f>_xlfn.SWITCH(表1_4[[#This Row],[color]],1,"♥",2,"♦",3,"♠",4,"♣")</f>
        <v>♠</v>
      </c>
      <c r="E101">
        <v>9</v>
      </c>
      <c r="F101" s="3">
        <v>1</v>
      </c>
      <c r="G101" t="str">
        <f>_xlfn.SWITCH(表1_4[[#This Row],[type]],1,"基本",2,"锦囊",3,"装备")</f>
        <v>基本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</row>
    <row r="102" spans="1:13" x14ac:dyDescent="0.35">
      <c r="A102">
        <v>101</v>
      </c>
      <c r="B102" s="1" t="s">
        <v>13</v>
      </c>
      <c r="C102" s="3">
        <v>3</v>
      </c>
      <c r="D102" t="str">
        <f>_xlfn.SWITCH(表1_4[[#This Row],[color]],1,"♥",2,"♦",3,"♠",4,"♣")</f>
        <v>♠</v>
      </c>
      <c r="E102">
        <v>10</v>
      </c>
      <c r="F102" s="3">
        <v>1</v>
      </c>
      <c r="G102" t="str">
        <f>_xlfn.SWITCH(表1_4[[#This Row],[type]],1,"基本",2,"锦囊",3,"装备")</f>
        <v>基本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</row>
    <row r="103" spans="1:13" x14ac:dyDescent="0.35">
      <c r="A103">
        <v>102</v>
      </c>
      <c r="B103" s="1" t="s">
        <v>27</v>
      </c>
      <c r="C103" s="3">
        <v>3</v>
      </c>
      <c r="D103" t="str">
        <f>_xlfn.SWITCH(表1_4[[#This Row],[color]],1,"♥",2,"♦",3,"♠",4,"♣")</f>
        <v>♠</v>
      </c>
      <c r="E103">
        <v>11</v>
      </c>
      <c r="F103" s="3">
        <v>2</v>
      </c>
      <c r="G103" t="str">
        <f>_xlfn.SWITCH(表1_4[[#This Row],[type]],1,"基本",2,"锦囊",3,"装备")</f>
        <v>锦囊</v>
      </c>
      <c r="H103">
        <v>0</v>
      </c>
      <c r="I103">
        <v>0</v>
      </c>
      <c r="J103">
        <v>0</v>
      </c>
      <c r="K103">
        <v>0</v>
      </c>
      <c r="L103">
        <v>13</v>
      </c>
      <c r="M103">
        <v>0</v>
      </c>
    </row>
    <row r="104" spans="1:13" x14ac:dyDescent="0.35">
      <c r="A104">
        <v>103</v>
      </c>
      <c r="B104" s="1" t="s">
        <v>37</v>
      </c>
      <c r="C104" s="3">
        <v>3</v>
      </c>
      <c r="D104" t="str">
        <f>_xlfn.SWITCH(表1_4[[#This Row],[color]],1,"♥",2,"♦",3,"♠",4,"♣")</f>
        <v>♠</v>
      </c>
      <c r="E104">
        <v>12</v>
      </c>
      <c r="F104" s="3">
        <v>3</v>
      </c>
      <c r="G104" t="str">
        <f>_xlfn.SWITCH(表1_4[[#This Row],[type]],1,"基本",2,"锦囊",3,"装备")</f>
        <v>装备</v>
      </c>
      <c r="H104">
        <v>1</v>
      </c>
      <c r="I104">
        <v>3</v>
      </c>
      <c r="J104">
        <v>0</v>
      </c>
      <c r="K104">
        <v>0</v>
      </c>
      <c r="L104">
        <v>27</v>
      </c>
      <c r="M104">
        <v>0</v>
      </c>
    </row>
    <row r="105" spans="1:13" x14ac:dyDescent="0.35">
      <c r="A105">
        <v>104</v>
      </c>
      <c r="B105" s="1" t="s">
        <v>38</v>
      </c>
      <c r="C105" s="3">
        <v>3</v>
      </c>
      <c r="D105" t="str">
        <f>_xlfn.SWITCH(表1_4[[#This Row],[color]],1,"♥",2,"♦",3,"♠",4,"♣")</f>
        <v>♠</v>
      </c>
      <c r="E105">
        <v>13</v>
      </c>
      <c r="F105" s="3">
        <v>3</v>
      </c>
      <c r="G105" t="str">
        <f>_xlfn.SWITCH(表1_4[[#This Row],[type]],1,"基本",2,"锦囊",3,"装备")</f>
        <v>装备</v>
      </c>
      <c r="H105">
        <v>4</v>
      </c>
      <c r="I105">
        <v>0</v>
      </c>
      <c r="J105">
        <v>1</v>
      </c>
      <c r="K105">
        <v>0</v>
      </c>
      <c r="L105">
        <v>19</v>
      </c>
      <c r="M105">
        <v>0</v>
      </c>
    </row>
    <row r="106" spans="1:13" x14ac:dyDescent="0.35">
      <c r="A106">
        <v>105</v>
      </c>
      <c r="B106" s="1" t="s">
        <v>35</v>
      </c>
      <c r="C106" s="3">
        <v>1</v>
      </c>
      <c r="D106" s="2" t="str">
        <f>_xlfn.SWITCH(表1_4[[#This Row],[color]],1,"♥",2,"♦",3,"♠",4,"♣")</f>
        <v>♥</v>
      </c>
      <c r="E106">
        <v>12</v>
      </c>
      <c r="F106" s="3">
        <v>2</v>
      </c>
      <c r="G106" t="str">
        <f>_xlfn.SWITCH(表1_4[[#This Row],[type]],1,"基本",2,"锦囊",3,"装备")</f>
        <v>锦囊</v>
      </c>
      <c r="H106">
        <v>5</v>
      </c>
      <c r="I106">
        <v>0</v>
      </c>
      <c r="J106">
        <v>0</v>
      </c>
      <c r="K106">
        <v>0</v>
      </c>
      <c r="L106">
        <v>11</v>
      </c>
      <c r="M106">
        <v>0</v>
      </c>
    </row>
    <row r="107" spans="1:13" x14ac:dyDescent="0.35">
      <c r="A107">
        <v>106</v>
      </c>
      <c r="B107" s="1" t="s">
        <v>27</v>
      </c>
      <c r="C107" s="3">
        <v>2</v>
      </c>
      <c r="D107" s="2" t="str">
        <f>_xlfn.SWITCH(表1_4[[#This Row],[color]],1,"♥",2,"♦",3,"♠",4,"♣")</f>
        <v>♦</v>
      </c>
      <c r="E107">
        <v>12</v>
      </c>
      <c r="F107" s="3">
        <v>2</v>
      </c>
      <c r="G107" t="str">
        <f>_xlfn.SWITCH(表1_4[[#This Row],[type]],1,"基本",2,"锦囊",3,"装备")</f>
        <v>锦囊</v>
      </c>
      <c r="H107">
        <v>0</v>
      </c>
      <c r="I107">
        <v>0</v>
      </c>
      <c r="J107">
        <v>0</v>
      </c>
      <c r="K107">
        <v>0</v>
      </c>
      <c r="L107">
        <v>13</v>
      </c>
      <c r="M107">
        <v>0</v>
      </c>
    </row>
    <row r="108" spans="1:13" x14ac:dyDescent="0.35">
      <c r="A108">
        <v>107</v>
      </c>
      <c r="B108" s="1" t="s">
        <v>39</v>
      </c>
      <c r="C108" s="3">
        <v>4</v>
      </c>
      <c r="D108" t="str">
        <f>_xlfn.SWITCH(表1_4[[#This Row],[color]],1,"♥",2,"♦",3,"♠",4,"♣")</f>
        <v>♣</v>
      </c>
      <c r="E108">
        <v>2</v>
      </c>
      <c r="F108" s="3">
        <v>3</v>
      </c>
      <c r="G108" t="str">
        <f>_xlfn.SWITCH(表1_4[[#This Row],[type]],1,"基本",2,"锦囊",3,"装备")</f>
        <v>装备</v>
      </c>
      <c r="H108">
        <v>2</v>
      </c>
      <c r="I108">
        <v>0</v>
      </c>
      <c r="J108">
        <v>0</v>
      </c>
      <c r="K108">
        <v>0</v>
      </c>
      <c r="L108">
        <v>200</v>
      </c>
      <c r="M108">
        <v>0</v>
      </c>
    </row>
    <row r="109" spans="1:13" x14ac:dyDescent="0.35">
      <c r="A109">
        <v>108</v>
      </c>
      <c r="B109" s="1" t="s">
        <v>40</v>
      </c>
      <c r="C109" s="3">
        <v>3</v>
      </c>
      <c r="D109" t="str">
        <f>_xlfn.SWITCH(表1_4[[#This Row],[color]],1,"♥",2,"♦",3,"♠",4,"♣")</f>
        <v>♠</v>
      </c>
      <c r="E109">
        <v>2</v>
      </c>
      <c r="F109" s="3">
        <v>3</v>
      </c>
      <c r="G109" t="str">
        <f>_xlfn.SWITCH(表1_4[[#This Row],[type]],1,"基本",2,"锦囊",3,"装备")</f>
        <v>装备</v>
      </c>
      <c r="H109">
        <v>1</v>
      </c>
      <c r="I109">
        <v>2</v>
      </c>
      <c r="J109">
        <v>0</v>
      </c>
      <c r="K109">
        <v>0</v>
      </c>
      <c r="L109">
        <v>201</v>
      </c>
      <c r="M109">
        <v>0</v>
      </c>
    </row>
    <row r="110" spans="1:13" x14ac:dyDescent="0.35">
      <c r="A110">
        <v>109</v>
      </c>
      <c r="B110" s="1" t="s">
        <v>27</v>
      </c>
      <c r="C110" s="3">
        <v>1</v>
      </c>
      <c r="D110" s="2" t="str">
        <f>_xlfn.SWITCH(表1_4[[#This Row],[color]],1,"♥",2,"♦",3,"♠",4,"♣")</f>
        <v>♥</v>
      </c>
      <c r="E110">
        <v>1</v>
      </c>
      <c r="F110" s="3">
        <v>2</v>
      </c>
      <c r="G110" t="str">
        <f>_xlfn.SWITCH(表1_4[[#This Row],[type]],1,"基本",2,"锦囊",3,"装备")</f>
        <v>锦囊</v>
      </c>
      <c r="H110">
        <v>0</v>
      </c>
      <c r="I110">
        <v>0</v>
      </c>
      <c r="J110">
        <v>0</v>
      </c>
      <c r="K110">
        <v>0</v>
      </c>
      <c r="L110">
        <v>13</v>
      </c>
      <c r="M110">
        <v>0</v>
      </c>
    </row>
    <row r="111" spans="1:13" x14ac:dyDescent="0.35">
      <c r="A111">
        <v>110</v>
      </c>
      <c r="B111" s="1" t="s">
        <v>41</v>
      </c>
      <c r="C111" s="3">
        <v>1</v>
      </c>
      <c r="D111" s="2" t="str">
        <f>_xlfn.SWITCH(表1_4[[#This Row],[color]],1,"♥",2,"♦",3,"♠",4,"♣")</f>
        <v>♥</v>
      </c>
      <c r="E111">
        <v>2</v>
      </c>
      <c r="F111" s="3">
        <v>2</v>
      </c>
      <c r="G111" t="str">
        <f>_xlfn.SWITCH(表1_4[[#This Row],[type]],1,"基本",2,"锦囊",3,"装备")</f>
        <v>锦囊</v>
      </c>
      <c r="H111">
        <v>0</v>
      </c>
      <c r="I111">
        <v>0</v>
      </c>
      <c r="J111">
        <v>0</v>
      </c>
      <c r="K111">
        <v>0</v>
      </c>
      <c r="L111">
        <v>83</v>
      </c>
      <c r="M111">
        <v>0</v>
      </c>
    </row>
    <row r="112" spans="1:13" x14ac:dyDescent="0.35">
      <c r="A112">
        <v>111</v>
      </c>
      <c r="B112" s="1" t="s">
        <v>41</v>
      </c>
      <c r="C112" s="3">
        <v>1</v>
      </c>
      <c r="D112" s="2" t="str">
        <f>_xlfn.SWITCH(表1_4[[#This Row],[color]],1,"♥",2,"♦",3,"♠",4,"♣")</f>
        <v>♥</v>
      </c>
      <c r="E112">
        <v>3</v>
      </c>
      <c r="F112" s="3">
        <v>2</v>
      </c>
      <c r="G112" t="str">
        <f>_xlfn.SWITCH(表1_4[[#This Row],[type]],1,"基本",2,"锦囊",3,"装备")</f>
        <v>锦囊</v>
      </c>
      <c r="H112">
        <v>0</v>
      </c>
      <c r="I112">
        <v>0</v>
      </c>
      <c r="J112">
        <v>0</v>
      </c>
      <c r="K112">
        <v>0</v>
      </c>
      <c r="L112">
        <v>83</v>
      </c>
      <c r="M112">
        <v>0</v>
      </c>
    </row>
    <row r="113" spans="1:13" x14ac:dyDescent="0.35">
      <c r="A113">
        <v>112</v>
      </c>
      <c r="B113" s="1" t="s">
        <v>13</v>
      </c>
      <c r="C113" s="3">
        <v>1</v>
      </c>
      <c r="D113" s="2" t="str">
        <f>_xlfn.SWITCH(表1_4[[#This Row],[color]],1,"♥",2,"♦",3,"♠",4,"♣")</f>
        <v>♥</v>
      </c>
      <c r="E113">
        <v>4</v>
      </c>
      <c r="F113" s="3">
        <v>1</v>
      </c>
      <c r="G113" t="str">
        <f>_xlfn.SWITCH(表1_4[[#This Row],[type]],1,"基本",2,"锦囊",3,"装备")</f>
        <v>基本</v>
      </c>
      <c r="H113">
        <v>6</v>
      </c>
      <c r="I113">
        <v>0</v>
      </c>
      <c r="J113">
        <v>0</v>
      </c>
      <c r="K113">
        <v>0</v>
      </c>
      <c r="L113">
        <v>1</v>
      </c>
      <c r="M113">
        <v>0</v>
      </c>
    </row>
    <row r="114" spans="1:13" x14ac:dyDescent="0.35">
      <c r="A114">
        <v>113</v>
      </c>
      <c r="B114" s="1" t="s">
        <v>17</v>
      </c>
      <c r="C114" s="3">
        <v>1</v>
      </c>
      <c r="D114" s="2" t="str">
        <f>_xlfn.SWITCH(表1_4[[#This Row],[color]],1,"♥",2,"♦",3,"♠",4,"♣")</f>
        <v>♥</v>
      </c>
      <c r="E114">
        <v>5</v>
      </c>
      <c r="F114" s="3">
        <v>1</v>
      </c>
      <c r="G114" t="str">
        <f>_xlfn.SWITCH(表1_4[[#This Row],[type]],1,"基本",2,"锦囊",3,"装备")</f>
        <v>基本</v>
      </c>
      <c r="H114">
        <v>0</v>
      </c>
      <c r="I114">
        <v>0</v>
      </c>
      <c r="J114">
        <v>0</v>
      </c>
      <c r="K114">
        <v>0</v>
      </c>
      <c r="L114">
        <v>3</v>
      </c>
      <c r="M114">
        <v>0</v>
      </c>
    </row>
    <row r="115" spans="1:13" x14ac:dyDescent="0.35">
      <c r="A115">
        <v>114</v>
      </c>
      <c r="B115" s="1" t="s">
        <v>17</v>
      </c>
      <c r="C115" s="3">
        <v>1</v>
      </c>
      <c r="D115" s="2" t="str">
        <f>_xlfn.SWITCH(表1_4[[#This Row],[color]],1,"♥",2,"♦",3,"♠",4,"♣")</f>
        <v>♥</v>
      </c>
      <c r="E115">
        <v>6</v>
      </c>
      <c r="F115" s="3">
        <v>1</v>
      </c>
      <c r="G115" t="str">
        <f>_xlfn.SWITCH(表1_4[[#This Row],[type]],1,"基本",2,"锦囊",3,"装备")</f>
        <v>基本</v>
      </c>
      <c r="H115">
        <v>0</v>
      </c>
      <c r="I115">
        <v>0</v>
      </c>
      <c r="J115">
        <v>0</v>
      </c>
      <c r="K115">
        <v>0</v>
      </c>
      <c r="L115">
        <v>3</v>
      </c>
      <c r="M115">
        <v>0</v>
      </c>
    </row>
    <row r="116" spans="1:13" x14ac:dyDescent="0.35">
      <c r="A116">
        <v>115</v>
      </c>
      <c r="B116" s="1" t="s">
        <v>13</v>
      </c>
      <c r="C116" s="3">
        <v>1</v>
      </c>
      <c r="D116" s="2" t="str">
        <f>_xlfn.SWITCH(表1_4[[#This Row],[color]],1,"♥",2,"♦",3,"♠",4,"♣")</f>
        <v>♥</v>
      </c>
      <c r="E116">
        <v>7</v>
      </c>
      <c r="F116" s="3">
        <v>1</v>
      </c>
      <c r="G116" t="str">
        <f>_xlfn.SWITCH(表1_4[[#This Row],[type]],1,"基本",2,"锦囊",3,"装备")</f>
        <v>基本</v>
      </c>
      <c r="H116">
        <v>6</v>
      </c>
      <c r="I116">
        <v>0</v>
      </c>
      <c r="J116">
        <v>0</v>
      </c>
      <c r="K116">
        <v>0</v>
      </c>
      <c r="L116">
        <v>1</v>
      </c>
      <c r="M116">
        <v>0</v>
      </c>
    </row>
    <row r="117" spans="1:13" x14ac:dyDescent="0.35">
      <c r="A117">
        <v>116</v>
      </c>
      <c r="B117" s="1" t="s">
        <v>10</v>
      </c>
      <c r="C117" s="3">
        <v>1</v>
      </c>
      <c r="D117" s="2" t="str">
        <f>_xlfn.SWITCH(表1_4[[#This Row],[color]],1,"♥",2,"♦",3,"♠",4,"♣")</f>
        <v>♥</v>
      </c>
      <c r="E117">
        <v>8</v>
      </c>
      <c r="F117" s="3">
        <v>1</v>
      </c>
      <c r="G117" t="str">
        <f>_xlfn.SWITCH(表1_4[[#This Row],[type]],1,"基本",2,"锦囊",3,"装备")</f>
        <v>基本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</row>
    <row r="118" spans="1:13" x14ac:dyDescent="0.35">
      <c r="A118">
        <v>117</v>
      </c>
      <c r="B118" s="1" t="s">
        <v>10</v>
      </c>
      <c r="C118" s="3">
        <v>1</v>
      </c>
      <c r="D118" s="2" t="str">
        <f>_xlfn.SWITCH(表1_4[[#This Row],[color]],1,"♥",2,"♦",3,"♠",4,"♣")</f>
        <v>♥</v>
      </c>
      <c r="E118">
        <v>9</v>
      </c>
      <c r="F118" s="3">
        <v>1</v>
      </c>
      <c r="G118" t="str">
        <f>_xlfn.SWITCH(表1_4[[#This Row],[type]],1,"基本",2,"锦囊",3,"装备")</f>
        <v>基本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</row>
    <row r="119" spans="1:13" x14ac:dyDescent="0.35">
      <c r="A119">
        <v>118</v>
      </c>
      <c r="B119" s="1" t="s">
        <v>13</v>
      </c>
      <c r="C119" s="3">
        <v>1</v>
      </c>
      <c r="D119" s="2" t="str">
        <f>_xlfn.SWITCH(表1_4[[#This Row],[color]],1,"♥",2,"♦",3,"♠",4,"♣")</f>
        <v>♥</v>
      </c>
      <c r="E119">
        <v>10</v>
      </c>
      <c r="F119" s="3">
        <v>1</v>
      </c>
      <c r="G119" t="str">
        <f>_xlfn.SWITCH(表1_4[[#This Row],[type]],1,"基本",2,"锦囊",3,"装备")</f>
        <v>基本</v>
      </c>
      <c r="H119">
        <v>6</v>
      </c>
      <c r="I119">
        <v>0</v>
      </c>
      <c r="J119">
        <v>0</v>
      </c>
      <c r="K119">
        <v>0</v>
      </c>
      <c r="L119">
        <v>1</v>
      </c>
      <c r="M119">
        <v>0</v>
      </c>
    </row>
    <row r="120" spans="1:13" x14ac:dyDescent="0.35">
      <c r="A120">
        <v>119</v>
      </c>
      <c r="B120" s="1" t="s">
        <v>10</v>
      </c>
      <c r="C120" s="3">
        <v>1</v>
      </c>
      <c r="D120" s="2" t="str">
        <f>_xlfn.SWITCH(表1_4[[#This Row],[color]],1,"♥",2,"♦",3,"♠",4,"♣")</f>
        <v>♥</v>
      </c>
      <c r="E120">
        <v>11</v>
      </c>
      <c r="F120" s="3">
        <v>1</v>
      </c>
      <c r="G120" t="str">
        <f>_xlfn.SWITCH(表1_4[[#This Row],[type]],1,"基本",2,"锦囊",3,"装备")</f>
        <v>基本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</row>
    <row r="121" spans="1:13" x14ac:dyDescent="0.35">
      <c r="A121">
        <v>120</v>
      </c>
      <c r="B121" s="1" t="s">
        <v>10</v>
      </c>
      <c r="C121" s="3">
        <v>1</v>
      </c>
      <c r="D121" s="2" t="str">
        <f>_xlfn.SWITCH(表1_4[[#This Row],[color]],1,"♥",2,"♦",3,"♠",4,"♣")</f>
        <v>♥</v>
      </c>
      <c r="E121">
        <v>12</v>
      </c>
      <c r="F121" s="3">
        <v>1</v>
      </c>
      <c r="G121" t="str">
        <f>_xlfn.SWITCH(表1_4[[#This Row],[type]],1,"基本",2,"锦囊",3,"装备")</f>
        <v>基本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</row>
    <row r="122" spans="1:13" x14ac:dyDescent="0.35">
      <c r="A122">
        <v>121</v>
      </c>
      <c r="B122" s="1" t="s">
        <v>27</v>
      </c>
      <c r="C122" s="3">
        <v>1</v>
      </c>
      <c r="D122" s="2" t="str">
        <f>_xlfn.SWITCH(表1_4[[#This Row],[color]],1,"♥",2,"♦",3,"♠",4,"♣")</f>
        <v>♥</v>
      </c>
      <c r="E122">
        <v>13</v>
      </c>
      <c r="F122" s="3">
        <v>2</v>
      </c>
      <c r="G122" t="str">
        <f>_xlfn.SWITCH(表1_4[[#This Row],[type]],1,"基本",2,"锦囊",3,"装备")</f>
        <v>锦囊</v>
      </c>
      <c r="H122">
        <v>0</v>
      </c>
      <c r="I122">
        <v>0</v>
      </c>
      <c r="J122">
        <v>0</v>
      </c>
      <c r="K122">
        <v>0</v>
      </c>
      <c r="L122">
        <v>13</v>
      </c>
      <c r="M122">
        <v>0</v>
      </c>
    </row>
    <row r="123" spans="1:13" x14ac:dyDescent="0.35">
      <c r="A123">
        <v>122</v>
      </c>
      <c r="B123" s="1" t="s">
        <v>42</v>
      </c>
      <c r="C123" s="3">
        <v>2</v>
      </c>
      <c r="D123" s="2" t="str">
        <f>_xlfn.SWITCH(表1_4[[#This Row],[color]],1,"♥",2,"♦",3,"♠",4,"♣")</f>
        <v>♦</v>
      </c>
      <c r="E123">
        <v>1</v>
      </c>
      <c r="F123" s="3">
        <v>3</v>
      </c>
      <c r="G123" t="str">
        <f>_xlfn.SWITCH(表1_4[[#This Row],[type]],1,"基本",2,"锦囊",3,"装备")</f>
        <v>装备</v>
      </c>
      <c r="H123">
        <v>1</v>
      </c>
      <c r="I123">
        <v>4</v>
      </c>
      <c r="J123">
        <v>0</v>
      </c>
      <c r="K123">
        <v>0</v>
      </c>
      <c r="L123">
        <v>87</v>
      </c>
      <c r="M123">
        <v>0</v>
      </c>
    </row>
    <row r="124" spans="1:13" x14ac:dyDescent="0.35">
      <c r="A124">
        <v>123</v>
      </c>
      <c r="B124" s="1" t="s">
        <v>17</v>
      </c>
      <c r="C124" s="3">
        <v>2</v>
      </c>
      <c r="D124" s="2" t="str">
        <f>_xlfn.SWITCH(表1_4[[#This Row],[color]],1,"♥",2,"♦",3,"♠",4,"♣")</f>
        <v>♦</v>
      </c>
      <c r="E124">
        <v>2</v>
      </c>
      <c r="F124" s="3">
        <v>1</v>
      </c>
      <c r="G124" t="str">
        <f>_xlfn.SWITCH(表1_4[[#This Row],[type]],1,"基本",2,"锦囊",3,"装备")</f>
        <v>基本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</row>
    <row r="125" spans="1:13" x14ac:dyDescent="0.35">
      <c r="A125">
        <v>124</v>
      </c>
      <c r="B125" s="1" t="s">
        <v>17</v>
      </c>
      <c r="C125" s="3">
        <v>2</v>
      </c>
      <c r="D125" s="2" t="str">
        <f>_xlfn.SWITCH(表1_4[[#This Row],[color]],1,"♥",2,"♦",3,"♠",4,"♣")</f>
        <v>♦</v>
      </c>
      <c r="E125">
        <v>3</v>
      </c>
      <c r="F125" s="3">
        <v>1</v>
      </c>
      <c r="G125" t="str">
        <f>_xlfn.SWITCH(表1_4[[#This Row],[type]],1,"基本",2,"锦囊",3,"装备")</f>
        <v>基本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0</v>
      </c>
    </row>
    <row r="126" spans="1:13" x14ac:dyDescent="0.35">
      <c r="A126">
        <v>125</v>
      </c>
      <c r="B126" s="1" t="s">
        <v>13</v>
      </c>
      <c r="C126" s="3">
        <v>2</v>
      </c>
      <c r="D126" s="2" t="str">
        <f>_xlfn.SWITCH(表1_4[[#This Row],[color]],1,"♥",2,"♦",3,"♠",4,"♣")</f>
        <v>♦</v>
      </c>
      <c r="E126">
        <v>4</v>
      </c>
      <c r="F126" s="3">
        <v>1</v>
      </c>
      <c r="G126" t="str">
        <f>_xlfn.SWITCH(表1_4[[#This Row],[type]],1,"基本",2,"锦囊",3,"装备")</f>
        <v>基本</v>
      </c>
      <c r="H126">
        <v>6</v>
      </c>
      <c r="I126">
        <v>0</v>
      </c>
      <c r="J126">
        <v>0</v>
      </c>
      <c r="K126">
        <v>0</v>
      </c>
      <c r="L126">
        <v>1</v>
      </c>
      <c r="M126">
        <v>0</v>
      </c>
    </row>
    <row r="127" spans="1:13" x14ac:dyDescent="0.35">
      <c r="A127">
        <v>126</v>
      </c>
      <c r="B127" s="1" t="s">
        <v>13</v>
      </c>
      <c r="C127" s="3">
        <v>2</v>
      </c>
      <c r="D127" s="2" t="str">
        <f>_xlfn.SWITCH(表1_4[[#This Row],[color]],1,"♥",2,"♦",3,"♠",4,"♣")</f>
        <v>♦</v>
      </c>
      <c r="E127">
        <v>5</v>
      </c>
      <c r="F127" s="3">
        <v>1</v>
      </c>
      <c r="G127" t="str">
        <f>_xlfn.SWITCH(表1_4[[#This Row],[type]],1,"基本",2,"锦囊",3,"装备")</f>
        <v>基本</v>
      </c>
      <c r="H127">
        <v>6</v>
      </c>
      <c r="I127">
        <v>0</v>
      </c>
      <c r="J127">
        <v>0</v>
      </c>
      <c r="K127">
        <v>0</v>
      </c>
      <c r="L127">
        <v>1</v>
      </c>
      <c r="M127">
        <v>0</v>
      </c>
    </row>
    <row r="128" spans="1:13" x14ac:dyDescent="0.35">
      <c r="A128">
        <v>127</v>
      </c>
      <c r="B128" s="1" t="s">
        <v>10</v>
      </c>
      <c r="C128" s="3">
        <v>2</v>
      </c>
      <c r="D128" s="2" t="str">
        <f>_xlfn.SWITCH(表1_4[[#This Row],[color]],1,"♥",2,"♦",3,"♠",4,"♣")</f>
        <v>♦</v>
      </c>
      <c r="E128">
        <v>6</v>
      </c>
      <c r="F128" s="3">
        <v>1</v>
      </c>
      <c r="G128" t="str">
        <f>_xlfn.SWITCH(表1_4[[#This Row],[type]],1,"基本",2,"锦囊",3,"装备")</f>
        <v>基本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0</v>
      </c>
    </row>
    <row r="129" spans="1:13" x14ac:dyDescent="0.35">
      <c r="A129">
        <v>128</v>
      </c>
      <c r="B129" s="1" t="s">
        <v>10</v>
      </c>
      <c r="C129" s="3">
        <v>2</v>
      </c>
      <c r="D129" s="2" t="str">
        <f>_xlfn.SWITCH(表1_4[[#This Row],[color]],1,"♥",2,"♦",3,"♠",4,"♣")</f>
        <v>♦</v>
      </c>
      <c r="E129">
        <v>7</v>
      </c>
      <c r="F129" s="3">
        <v>1</v>
      </c>
      <c r="G129" t="str">
        <f>_xlfn.SWITCH(表1_4[[#This Row],[type]],1,"基本",2,"锦囊",3,"装备")</f>
        <v>基本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0</v>
      </c>
    </row>
    <row r="130" spans="1:13" x14ac:dyDescent="0.35">
      <c r="A130">
        <v>129</v>
      </c>
      <c r="B130" s="1" t="s">
        <v>10</v>
      </c>
      <c r="C130" s="3">
        <v>2</v>
      </c>
      <c r="D130" s="2" t="str">
        <f>_xlfn.SWITCH(表1_4[[#This Row],[color]],1,"♥",2,"♦",3,"♠",4,"♣")</f>
        <v>♦</v>
      </c>
      <c r="E130">
        <v>8</v>
      </c>
      <c r="F130" s="3">
        <v>1</v>
      </c>
      <c r="G130" t="str">
        <f>_xlfn.SWITCH(表1_4[[#This Row],[type]],1,"基本",2,"锦囊",3,"装备")</f>
        <v>基本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</row>
    <row r="131" spans="1:13" x14ac:dyDescent="0.35">
      <c r="A131">
        <v>130</v>
      </c>
      <c r="B131" s="1" t="s">
        <v>43</v>
      </c>
      <c r="C131" s="3">
        <v>2</v>
      </c>
      <c r="D131" s="2" t="str">
        <f>_xlfn.SWITCH(表1_4[[#This Row],[color]],1,"♥",2,"♦",3,"♠",4,"♣")</f>
        <v>♦</v>
      </c>
      <c r="E131">
        <v>9</v>
      </c>
      <c r="F131" s="3">
        <v>1</v>
      </c>
      <c r="G131" t="str">
        <f>_xlfn.SWITCH(表1_4[[#This Row],[type]],1,"基本",2,"锦囊",3,"装备")</f>
        <v>基本</v>
      </c>
      <c r="H131">
        <v>0</v>
      </c>
      <c r="I131">
        <v>0</v>
      </c>
      <c r="J131">
        <v>0</v>
      </c>
      <c r="K131">
        <v>0</v>
      </c>
      <c r="L131">
        <v>82</v>
      </c>
      <c r="M131">
        <v>0</v>
      </c>
    </row>
    <row r="132" spans="1:13" x14ac:dyDescent="0.35">
      <c r="A132">
        <v>131</v>
      </c>
      <c r="B132" s="1" t="s">
        <v>10</v>
      </c>
      <c r="C132" s="3">
        <v>2</v>
      </c>
      <c r="D132" s="2" t="str">
        <f>_xlfn.SWITCH(表1_4[[#This Row],[color]],1,"♥",2,"♦",3,"♠",4,"♣")</f>
        <v>♦</v>
      </c>
      <c r="E132">
        <v>10</v>
      </c>
      <c r="F132" s="3">
        <v>1</v>
      </c>
      <c r="G132" t="str">
        <f>_xlfn.SWITCH(表1_4[[#This Row],[type]],1,"基本",2,"锦囊",3,"装备")</f>
        <v>基本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</row>
    <row r="133" spans="1:13" x14ac:dyDescent="0.35">
      <c r="A133">
        <v>132</v>
      </c>
      <c r="B133" s="1" t="s">
        <v>10</v>
      </c>
      <c r="C133" s="3">
        <v>2</v>
      </c>
      <c r="D133" s="2" t="str">
        <f>_xlfn.SWITCH(表1_4[[#This Row],[color]],1,"♥",2,"♦",3,"♠",4,"♣")</f>
        <v>♦</v>
      </c>
      <c r="E133">
        <v>11</v>
      </c>
      <c r="F133" s="3">
        <v>1</v>
      </c>
      <c r="G133" t="str">
        <f>_xlfn.SWITCH(表1_4[[#This Row],[type]],1,"基本",2,"锦囊",3,"装备")</f>
        <v>基本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</row>
    <row r="134" spans="1:13" x14ac:dyDescent="0.35">
      <c r="A134">
        <v>133</v>
      </c>
      <c r="B134" s="1" t="s">
        <v>41</v>
      </c>
      <c r="C134" s="3">
        <v>2</v>
      </c>
      <c r="D134" s="2" t="str">
        <f>_xlfn.SWITCH(表1_4[[#This Row],[color]],1,"♥",2,"♦",3,"♠",4,"♣")</f>
        <v>♦</v>
      </c>
      <c r="E134">
        <v>12</v>
      </c>
      <c r="F134" s="3">
        <v>2</v>
      </c>
      <c r="G134" t="str">
        <f>_xlfn.SWITCH(表1_4[[#This Row],[type]],1,"基本",2,"锦囊",3,"装备")</f>
        <v>锦囊</v>
      </c>
      <c r="H134">
        <v>0</v>
      </c>
      <c r="I134">
        <v>0</v>
      </c>
      <c r="J134">
        <v>0</v>
      </c>
      <c r="K134">
        <v>0</v>
      </c>
      <c r="L134">
        <v>83</v>
      </c>
      <c r="M134">
        <v>0</v>
      </c>
    </row>
    <row r="135" spans="1:13" x14ac:dyDescent="0.35">
      <c r="A135">
        <v>134</v>
      </c>
      <c r="B135" s="1" t="s">
        <v>44</v>
      </c>
      <c r="C135" s="3">
        <v>2</v>
      </c>
      <c r="D135" s="2" t="str">
        <f>_xlfn.SWITCH(表1_4[[#This Row],[color]],1,"♥",2,"♦",3,"♠",4,"♣")</f>
        <v>♦</v>
      </c>
      <c r="E135">
        <v>13</v>
      </c>
      <c r="F135" s="3">
        <v>3</v>
      </c>
      <c r="G135" t="str">
        <f>_xlfn.SWITCH(表1_4[[#This Row],[type]],1,"基本",2,"锦囊",3,"装备")</f>
        <v>装备</v>
      </c>
      <c r="H135">
        <v>3</v>
      </c>
      <c r="I135">
        <v>0</v>
      </c>
      <c r="J135">
        <v>0</v>
      </c>
      <c r="K135">
        <v>1</v>
      </c>
      <c r="L135">
        <v>90</v>
      </c>
      <c r="M135">
        <v>0</v>
      </c>
    </row>
    <row r="136" spans="1:13" x14ac:dyDescent="0.35">
      <c r="A136">
        <v>135</v>
      </c>
      <c r="B136" s="1" t="s">
        <v>45</v>
      </c>
      <c r="C136" s="3">
        <v>3</v>
      </c>
      <c r="D136" t="str">
        <f>_xlfn.SWITCH(表1_4[[#This Row],[color]],1,"♥",2,"♦",3,"♠",4,"♣")</f>
        <v>♠</v>
      </c>
      <c r="E136">
        <v>1</v>
      </c>
      <c r="F136" s="3">
        <v>3</v>
      </c>
      <c r="G136" t="str">
        <f>_xlfn.SWITCH(表1_4[[#This Row],[type]],1,"基本",2,"锦囊",3,"装备")</f>
        <v>装备</v>
      </c>
      <c r="H136">
        <v>1</v>
      </c>
      <c r="I136">
        <v>2</v>
      </c>
      <c r="J136">
        <v>0</v>
      </c>
      <c r="K136">
        <v>0</v>
      </c>
      <c r="L136">
        <v>86</v>
      </c>
      <c r="M136">
        <v>0</v>
      </c>
    </row>
    <row r="137" spans="1:13" x14ac:dyDescent="0.35">
      <c r="A137">
        <v>136</v>
      </c>
      <c r="B137" s="1" t="s">
        <v>46</v>
      </c>
      <c r="C137" s="3">
        <v>3</v>
      </c>
      <c r="D137" t="str">
        <f>_xlfn.SWITCH(表1_4[[#This Row],[color]],1,"♥",2,"♦",3,"♠",4,"♣")</f>
        <v>♠</v>
      </c>
      <c r="E137">
        <v>2</v>
      </c>
      <c r="F137" s="3">
        <v>3</v>
      </c>
      <c r="G137" t="str">
        <f>_xlfn.SWITCH(表1_4[[#This Row],[type]],1,"基本",2,"锦囊",3,"装备")</f>
        <v>装备</v>
      </c>
      <c r="H137">
        <v>2</v>
      </c>
      <c r="I137">
        <v>0</v>
      </c>
      <c r="J137">
        <v>0</v>
      </c>
      <c r="K137">
        <v>0</v>
      </c>
      <c r="L137">
        <v>88</v>
      </c>
      <c r="M137">
        <v>0</v>
      </c>
    </row>
    <row r="138" spans="1:13" x14ac:dyDescent="0.35">
      <c r="A138">
        <v>137</v>
      </c>
      <c r="B138" s="1" t="s">
        <v>43</v>
      </c>
      <c r="C138" s="3">
        <v>3</v>
      </c>
      <c r="D138" t="str">
        <f>_xlfn.SWITCH(表1_4[[#This Row],[color]],1,"♥",2,"♦",3,"♠",4,"♣")</f>
        <v>♠</v>
      </c>
      <c r="E138">
        <v>3</v>
      </c>
      <c r="F138" s="3">
        <v>1</v>
      </c>
      <c r="G138" t="str">
        <f>_xlfn.SWITCH(表1_4[[#This Row],[type]],1,"基本",2,"锦囊",3,"装备")</f>
        <v>基本</v>
      </c>
      <c r="H138">
        <v>0</v>
      </c>
      <c r="I138">
        <v>0</v>
      </c>
      <c r="J138">
        <v>0</v>
      </c>
      <c r="K138">
        <v>0</v>
      </c>
      <c r="L138">
        <v>82</v>
      </c>
      <c r="M138">
        <v>0</v>
      </c>
    </row>
    <row r="139" spans="1:13" x14ac:dyDescent="0.35">
      <c r="A139">
        <v>138</v>
      </c>
      <c r="B139" s="1" t="s">
        <v>13</v>
      </c>
      <c r="C139" s="3">
        <v>3</v>
      </c>
      <c r="D139" t="str">
        <f>_xlfn.SWITCH(表1_4[[#This Row],[color]],1,"♥",2,"♦",3,"♠",4,"♣")</f>
        <v>♠</v>
      </c>
      <c r="E139">
        <v>4</v>
      </c>
      <c r="F139" s="3">
        <v>1</v>
      </c>
      <c r="G139" t="str">
        <f>_xlfn.SWITCH(表1_4[[#This Row],[type]],1,"基本",2,"锦囊",3,"装备")</f>
        <v>基本</v>
      </c>
      <c r="H139">
        <v>7</v>
      </c>
      <c r="I139">
        <v>0</v>
      </c>
      <c r="J139">
        <v>0</v>
      </c>
      <c r="K139">
        <v>0</v>
      </c>
      <c r="L139">
        <v>1</v>
      </c>
      <c r="M139">
        <v>0</v>
      </c>
    </row>
    <row r="140" spans="1:13" x14ac:dyDescent="0.35">
      <c r="A140">
        <v>139</v>
      </c>
      <c r="B140" s="1" t="s">
        <v>13</v>
      </c>
      <c r="C140" s="3">
        <v>3</v>
      </c>
      <c r="D140" t="str">
        <f>_xlfn.SWITCH(表1_4[[#This Row],[color]],1,"♥",2,"♦",3,"♠",4,"♣")</f>
        <v>♠</v>
      </c>
      <c r="E140">
        <v>5</v>
      </c>
      <c r="F140" s="3">
        <v>1</v>
      </c>
      <c r="G140" t="str">
        <f>_xlfn.SWITCH(表1_4[[#This Row],[type]],1,"基本",2,"锦囊",3,"装备")</f>
        <v>基本</v>
      </c>
      <c r="H140">
        <v>7</v>
      </c>
      <c r="I140">
        <v>0</v>
      </c>
      <c r="J140">
        <v>0</v>
      </c>
      <c r="K140">
        <v>0</v>
      </c>
      <c r="L140">
        <v>1</v>
      </c>
      <c r="M140">
        <v>0</v>
      </c>
    </row>
    <row r="141" spans="1:13" x14ac:dyDescent="0.35">
      <c r="A141">
        <v>140</v>
      </c>
      <c r="B141" s="1" t="s">
        <v>13</v>
      </c>
      <c r="C141" s="3">
        <v>3</v>
      </c>
      <c r="D141" t="str">
        <f>_xlfn.SWITCH(表1_4[[#This Row],[color]],1,"♥",2,"♦",3,"♠",4,"♣")</f>
        <v>♠</v>
      </c>
      <c r="E141">
        <v>6</v>
      </c>
      <c r="F141" s="3">
        <v>1</v>
      </c>
      <c r="G141" t="str">
        <f>_xlfn.SWITCH(表1_4[[#This Row],[type]],1,"基本",2,"锦囊",3,"装备")</f>
        <v>基本</v>
      </c>
      <c r="H141">
        <v>7</v>
      </c>
      <c r="I141">
        <v>0</v>
      </c>
      <c r="J141">
        <v>0</v>
      </c>
      <c r="K141">
        <v>0</v>
      </c>
      <c r="L141">
        <v>1</v>
      </c>
      <c r="M141">
        <v>0</v>
      </c>
    </row>
    <row r="142" spans="1:13" x14ac:dyDescent="0.35">
      <c r="A142">
        <v>141</v>
      </c>
      <c r="B142" s="1" t="s">
        <v>13</v>
      </c>
      <c r="C142" s="3">
        <v>3</v>
      </c>
      <c r="D142" t="str">
        <f>_xlfn.SWITCH(表1_4[[#This Row],[color]],1,"♥",2,"♦",3,"♠",4,"♣")</f>
        <v>♠</v>
      </c>
      <c r="E142">
        <v>7</v>
      </c>
      <c r="F142" s="3">
        <v>1</v>
      </c>
      <c r="G142" t="str">
        <f>_xlfn.SWITCH(表1_4[[#This Row],[type]],1,"基本",2,"锦囊",3,"装备")</f>
        <v>基本</v>
      </c>
      <c r="H142">
        <v>7</v>
      </c>
      <c r="I142">
        <v>0</v>
      </c>
      <c r="J142">
        <v>0</v>
      </c>
      <c r="K142">
        <v>0</v>
      </c>
      <c r="L142">
        <v>1</v>
      </c>
      <c r="M142">
        <v>0</v>
      </c>
    </row>
    <row r="143" spans="1:13" x14ac:dyDescent="0.35">
      <c r="A143">
        <v>142</v>
      </c>
      <c r="B143" s="1" t="s">
        <v>13</v>
      </c>
      <c r="C143" s="3">
        <v>3</v>
      </c>
      <c r="D143" t="str">
        <f>_xlfn.SWITCH(表1_4[[#This Row],[color]],1,"♥",2,"♦",3,"♠",4,"♣")</f>
        <v>♠</v>
      </c>
      <c r="E143">
        <v>8</v>
      </c>
      <c r="F143" s="3">
        <v>1</v>
      </c>
      <c r="G143" t="str">
        <f>_xlfn.SWITCH(表1_4[[#This Row],[type]],1,"基本",2,"锦囊",3,"装备")</f>
        <v>基本</v>
      </c>
      <c r="H143">
        <v>7</v>
      </c>
      <c r="I143">
        <v>0</v>
      </c>
      <c r="J143">
        <v>0</v>
      </c>
      <c r="K143">
        <v>0</v>
      </c>
      <c r="L143">
        <v>1</v>
      </c>
      <c r="M143">
        <v>0</v>
      </c>
    </row>
    <row r="144" spans="1:13" x14ac:dyDescent="0.35">
      <c r="A144">
        <v>143</v>
      </c>
      <c r="B144" s="1" t="s">
        <v>43</v>
      </c>
      <c r="C144" s="3">
        <v>3</v>
      </c>
      <c r="D144" t="str">
        <f>_xlfn.SWITCH(表1_4[[#This Row],[color]],1,"♥",2,"♦",3,"♠",4,"♣")</f>
        <v>♠</v>
      </c>
      <c r="E144">
        <v>9</v>
      </c>
      <c r="F144" s="3">
        <v>1</v>
      </c>
      <c r="G144" t="str">
        <f>_xlfn.SWITCH(表1_4[[#This Row],[type]],1,"基本",2,"锦囊",3,"装备")</f>
        <v>基本</v>
      </c>
      <c r="H144">
        <v>0</v>
      </c>
      <c r="I144">
        <v>0</v>
      </c>
      <c r="J144">
        <v>0</v>
      </c>
      <c r="K144">
        <v>0</v>
      </c>
      <c r="L144">
        <v>82</v>
      </c>
      <c r="M144">
        <v>0</v>
      </c>
    </row>
    <row r="145" spans="1:13" x14ac:dyDescent="0.35">
      <c r="A145">
        <v>144</v>
      </c>
      <c r="B145" s="1" t="s">
        <v>47</v>
      </c>
      <c r="C145" s="3">
        <v>3</v>
      </c>
      <c r="D145" t="str">
        <f>_xlfn.SWITCH(表1_4[[#This Row],[color]],1,"♥",2,"♦",3,"♠",4,"♣")</f>
        <v>♠</v>
      </c>
      <c r="E145">
        <v>10</v>
      </c>
      <c r="F145" s="3">
        <v>2</v>
      </c>
      <c r="G145" t="str">
        <f>_xlfn.SWITCH(表1_4[[#This Row],[type]],1,"基本",2,"锦囊",3,"装备")</f>
        <v>锦囊</v>
      </c>
      <c r="H145">
        <v>5</v>
      </c>
      <c r="I145">
        <v>0</v>
      </c>
      <c r="J145">
        <v>0</v>
      </c>
      <c r="K145">
        <v>0</v>
      </c>
      <c r="L145">
        <v>84</v>
      </c>
      <c r="M145">
        <v>0</v>
      </c>
    </row>
    <row r="146" spans="1:13" x14ac:dyDescent="0.35">
      <c r="A146">
        <v>145</v>
      </c>
      <c r="B146" s="1" t="s">
        <v>48</v>
      </c>
      <c r="C146" s="3">
        <v>3</v>
      </c>
      <c r="D146" t="str">
        <f>_xlfn.SWITCH(表1_4[[#This Row],[color]],1,"♥",2,"♦",3,"♠",4,"♣")</f>
        <v>♠</v>
      </c>
      <c r="E146">
        <v>11</v>
      </c>
      <c r="F146" s="3">
        <v>2</v>
      </c>
      <c r="G146" t="str">
        <f>_xlfn.SWITCH(表1_4[[#This Row],[type]],1,"基本",2,"锦囊",3,"装备")</f>
        <v>锦囊</v>
      </c>
      <c r="H146">
        <v>0</v>
      </c>
      <c r="I146">
        <v>0</v>
      </c>
      <c r="J146">
        <v>0</v>
      </c>
      <c r="K146">
        <v>0</v>
      </c>
      <c r="L146">
        <v>85</v>
      </c>
      <c r="M146">
        <v>0</v>
      </c>
    </row>
    <row r="147" spans="1:13" x14ac:dyDescent="0.35">
      <c r="A147">
        <v>146</v>
      </c>
      <c r="B147" s="1" t="s">
        <v>48</v>
      </c>
      <c r="C147" s="3">
        <v>3</v>
      </c>
      <c r="D147" t="str">
        <f>_xlfn.SWITCH(表1_4[[#This Row],[color]],1,"♥",2,"♦",3,"♠",4,"♣")</f>
        <v>♠</v>
      </c>
      <c r="E147">
        <v>12</v>
      </c>
      <c r="F147" s="3">
        <v>2</v>
      </c>
      <c r="G147" t="str">
        <f>_xlfn.SWITCH(表1_4[[#This Row],[type]],1,"基本",2,"锦囊",3,"装备")</f>
        <v>锦囊</v>
      </c>
      <c r="H147">
        <v>0</v>
      </c>
      <c r="I147">
        <v>0</v>
      </c>
      <c r="J147">
        <v>0</v>
      </c>
      <c r="K147">
        <v>0</v>
      </c>
      <c r="L147">
        <v>85</v>
      </c>
      <c r="M147">
        <v>0</v>
      </c>
    </row>
    <row r="148" spans="1:13" x14ac:dyDescent="0.35">
      <c r="A148">
        <v>147</v>
      </c>
      <c r="B148" s="1" t="s">
        <v>27</v>
      </c>
      <c r="C148" s="3">
        <v>3</v>
      </c>
      <c r="D148" t="str">
        <f>_xlfn.SWITCH(表1_4[[#This Row],[color]],1,"♥",2,"♦",3,"♠",4,"♣")</f>
        <v>♠</v>
      </c>
      <c r="E148">
        <v>13</v>
      </c>
      <c r="F148" s="3">
        <v>2</v>
      </c>
      <c r="G148" t="str">
        <f>_xlfn.SWITCH(表1_4[[#This Row],[type]],1,"基本",2,"锦囊",3,"装备")</f>
        <v>锦囊</v>
      </c>
      <c r="H148">
        <v>0</v>
      </c>
      <c r="I148">
        <v>0</v>
      </c>
      <c r="J148">
        <v>0</v>
      </c>
      <c r="K148">
        <v>0</v>
      </c>
      <c r="L148">
        <v>13</v>
      </c>
      <c r="M148">
        <v>0</v>
      </c>
    </row>
    <row r="149" spans="1:13" x14ac:dyDescent="0.35">
      <c r="A149">
        <v>148</v>
      </c>
      <c r="B149" s="1" t="s">
        <v>49</v>
      </c>
      <c r="C149" s="3">
        <v>4</v>
      </c>
      <c r="D149" t="str">
        <f>_xlfn.SWITCH(表1_4[[#This Row],[color]],1,"♥",2,"♦",3,"♠",4,"♣")</f>
        <v>♣</v>
      </c>
      <c r="E149">
        <v>1</v>
      </c>
      <c r="F149" s="3">
        <v>3</v>
      </c>
      <c r="G149" t="str">
        <f>_xlfn.SWITCH(表1_4[[#This Row],[type]],1,"基本",2,"锦囊",3,"装备")</f>
        <v>装备</v>
      </c>
      <c r="H149">
        <v>2</v>
      </c>
      <c r="I149">
        <v>0</v>
      </c>
      <c r="J149">
        <v>0</v>
      </c>
      <c r="K149">
        <v>0</v>
      </c>
      <c r="L149">
        <v>89</v>
      </c>
      <c r="M149">
        <v>0</v>
      </c>
    </row>
    <row r="150" spans="1:13" x14ac:dyDescent="0.35">
      <c r="A150">
        <v>149</v>
      </c>
      <c r="B150" s="1" t="s">
        <v>46</v>
      </c>
      <c r="C150" s="3">
        <v>4</v>
      </c>
      <c r="D150" t="str">
        <f>_xlfn.SWITCH(表1_4[[#This Row],[color]],1,"♥",2,"♦",3,"♠",4,"♣")</f>
        <v>♣</v>
      </c>
      <c r="E150">
        <v>2</v>
      </c>
      <c r="F150" s="3">
        <v>3</v>
      </c>
      <c r="G150" t="str">
        <f>_xlfn.SWITCH(表1_4[[#This Row],[type]],1,"基本",2,"锦囊",3,"装备")</f>
        <v>装备</v>
      </c>
      <c r="H150">
        <v>2</v>
      </c>
      <c r="I150">
        <v>0</v>
      </c>
      <c r="J150">
        <v>0</v>
      </c>
      <c r="K150">
        <v>0</v>
      </c>
      <c r="L150">
        <v>88</v>
      </c>
      <c r="M150">
        <v>0</v>
      </c>
    </row>
    <row r="151" spans="1:13" x14ac:dyDescent="0.35">
      <c r="A151">
        <v>150</v>
      </c>
      <c r="B151" s="1" t="s">
        <v>43</v>
      </c>
      <c r="C151" s="3">
        <v>4</v>
      </c>
      <c r="D151" t="str">
        <f>_xlfn.SWITCH(表1_4[[#This Row],[color]],1,"♥",2,"♦",3,"♠",4,"♣")</f>
        <v>♣</v>
      </c>
      <c r="E151">
        <v>3</v>
      </c>
      <c r="F151" s="3">
        <v>1</v>
      </c>
      <c r="G151" t="str">
        <f>_xlfn.SWITCH(表1_4[[#This Row],[type]],1,"基本",2,"锦囊",3,"装备")</f>
        <v>基本</v>
      </c>
      <c r="H151">
        <v>0</v>
      </c>
      <c r="I151">
        <v>0</v>
      </c>
      <c r="J151">
        <v>0</v>
      </c>
      <c r="K151">
        <v>0</v>
      </c>
      <c r="L151">
        <v>82</v>
      </c>
      <c r="M151">
        <v>0</v>
      </c>
    </row>
    <row r="152" spans="1:13" x14ac:dyDescent="0.35">
      <c r="A152">
        <v>151</v>
      </c>
      <c r="B152" s="1" t="s">
        <v>47</v>
      </c>
      <c r="C152" s="3">
        <v>4</v>
      </c>
      <c r="D152" t="str">
        <f>_xlfn.SWITCH(表1_4[[#This Row],[color]],1,"♥",2,"♦",3,"♠",4,"♣")</f>
        <v>♣</v>
      </c>
      <c r="E152">
        <v>4</v>
      </c>
      <c r="F152" s="3">
        <v>2</v>
      </c>
      <c r="G152" t="str">
        <f>_xlfn.SWITCH(表1_4[[#This Row],[type]],1,"基本",2,"锦囊",3,"装备")</f>
        <v>锦囊</v>
      </c>
      <c r="H152">
        <v>5</v>
      </c>
      <c r="I152">
        <v>0</v>
      </c>
      <c r="J152">
        <v>0</v>
      </c>
      <c r="K152">
        <v>0</v>
      </c>
      <c r="L152">
        <v>84</v>
      </c>
      <c r="M152">
        <v>0</v>
      </c>
    </row>
    <row r="153" spans="1:13" x14ac:dyDescent="0.35">
      <c r="A153">
        <v>152</v>
      </c>
      <c r="B153" s="1" t="s">
        <v>13</v>
      </c>
      <c r="C153" s="3">
        <v>4</v>
      </c>
      <c r="D153" t="str">
        <f>_xlfn.SWITCH(表1_4[[#This Row],[color]],1,"♥",2,"♦",3,"♠",4,"♣")</f>
        <v>♣</v>
      </c>
      <c r="E153">
        <v>5</v>
      </c>
      <c r="F153" s="3">
        <v>1</v>
      </c>
      <c r="G153" t="str">
        <f>_xlfn.SWITCH(表1_4[[#This Row],[type]],1,"基本",2,"锦囊",3,"装备")</f>
        <v>基本</v>
      </c>
      <c r="H153">
        <v>7</v>
      </c>
      <c r="I153">
        <v>0</v>
      </c>
      <c r="J153">
        <v>0</v>
      </c>
      <c r="K153">
        <v>0</v>
      </c>
      <c r="L153">
        <v>1</v>
      </c>
      <c r="M153">
        <v>0</v>
      </c>
    </row>
    <row r="154" spans="1:13" x14ac:dyDescent="0.35">
      <c r="A154">
        <v>153</v>
      </c>
      <c r="B154" s="1" t="s">
        <v>13</v>
      </c>
      <c r="C154" s="3">
        <v>4</v>
      </c>
      <c r="D154" t="str">
        <f>_xlfn.SWITCH(表1_4[[#This Row],[color]],1,"♥",2,"♦",3,"♠",4,"♣")</f>
        <v>♣</v>
      </c>
      <c r="E154">
        <v>6</v>
      </c>
      <c r="F154" s="3">
        <v>1</v>
      </c>
      <c r="G154" t="str">
        <f>_xlfn.SWITCH(表1_4[[#This Row],[type]],1,"基本",2,"锦囊",3,"装备")</f>
        <v>基本</v>
      </c>
      <c r="H154">
        <v>7</v>
      </c>
      <c r="I154">
        <v>0</v>
      </c>
      <c r="J154">
        <v>0</v>
      </c>
      <c r="K154">
        <v>0</v>
      </c>
      <c r="L154">
        <v>1</v>
      </c>
      <c r="M154">
        <v>0</v>
      </c>
    </row>
    <row r="155" spans="1:13" x14ac:dyDescent="0.35">
      <c r="A155">
        <v>154</v>
      </c>
      <c r="B155" s="1" t="s">
        <v>13</v>
      </c>
      <c r="C155" s="3">
        <v>4</v>
      </c>
      <c r="D155" t="str">
        <f>_xlfn.SWITCH(表1_4[[#This Row],[color]],1,"♥",2,"♦",3,"♠",4,"♣")</f>
        <v>♣</v>
      </c>
      <c r="E155">
        <v>7</v>
      </c>
      <c r="F155" s="3">
        <v>1</v>
      </c>
      <c r="G155" t="str">
        <f>_xlfn.SWITCH(表1_4[[#This Row],[type]],1,"基本",2,"锦囊",3,"装备")</f>
        <v>基本</v>
      </c>
      <c r="H155">
        <v>7</v>
      </c>
      <c r="I155">
        <v>0</v>
      </c>
      <c r="J155">
        <v>0</v>
      </c>
      <c r="K155">
        <v>0</v>
      </c>
      <c r="L155">
        <v>1</v>
      </c>
      <c r="M155">
        <v>0</v>
      </c>
    </row>
    <row r="156" spans="1:13" x14ac:dyDescent="0.35">
      <c r="A156">
        <v>155</v>
      </c>
      <c r="B156" s="1" t="s">
        <v>13</v>
      </c>
      <c r="C156" s="3">
        <v>4</v>
      </c>
      <c r="D156" t="str">
        <f>_xlfn.SWITCH(表1_4[[#This Row],[color]],1,"♥",2,"♦",3,"♠",4,"♣")</f>
        <v>♣</v>
      </c>
      <c r="E156">
        <v>8</v>
      </c>
      <c r="F156" s="3">
        <v>1</v>
      </c>
      <c r="G156" t="str">
        <f>_xlfn.SWITCH(表1_4[[#This Row],[type]],1,"基本",2,"锦囊",3,"装备")</f>
        <v>基本</v>
      </c>
      <c r="H156">
        <v>7</v>
      </c>
      <c r="I156">
        <v>0</v>
      </c>
      <c r="J156">
        <v>0</v>
      </c>
      <c r="K156">
        <v>0</v>
      </c>
      <c r="L156">
        <v>1</v>
      </c>
      <c r="M156">
        <v>0</v>
      </c>
    </row>
    <row r="157" spans="1:13" x14ac:dyDescent="0.35">
      <c r="A157">
        <v>156</v>
      </c>
      <c r="B157" s="1" t="s">
        <v>43</v>
      </c>
      <c r="C157" s="3">
        <v>4</v>
      </c>
      <c r="D157" t="str">
        <f>_xlfn.SWITCH(表1_4[[#This Row],[color]],1,"♥",2,"♦",3,"♠",4,"♣")</f>
        <v>♣</v>
      </c>
      <c r="E157">
        <v>9</v>
      </c>
      <c r="F157" s="3">
        <v>1</v>
      </c>
      <c r="G157" t="str">
        <f>_xlfn.SWITCH(表1_4[[#This Row],[type]],1,"基本",2,"锦囊",3,"装备")</f>
        <v>基本</v>
      </c>
      <c r="H157">
        <v>0</v>
      </c>
      <c r="I157">
        <v>0</v>
      </c>
      <c r="J157">
        <v>0</v>
      </c>
      <c r="K157">
        <v>0</v>
      </c>
      <c r="L157">
        <v>82</v>
      </c>
      <c r="M157">
        <v>0</v>
      </c>
    </row>
    <row r="158" spans="1:13" x14ac:dyDescent="0.35">
      <c r="A158">
        <v>157</v>
      </c>
      <c r="B158" s="1" t="s">
        <v>48</v>
      </c>
      <c r="C158" s="3">
        <v>4</v>
      </c>
      <c r="D158" t="str">
        <f>_xlfn.SWITCH(表1_4[[#This Row],[color]],1,"♥",2,"♦",3,"♠",4,"♣")</f>
        <v>♣</v>
      </c>
      <c r="E158">
        <v>10</v>
      </c>
      <c r="F158" s="3">
        <v>2</v>
      </c>
      <c r="G158" t="str">
        <f>_xlfn.SWITCH(表1_4[[#This Row],[type]],1,"基本",2,"锦囊",3,"装备")</f>
        <v>锦囊</v>
      </c>
      <c r="H158">
        <v>0</v>
      </c>
      <c r="I158">
        <v>0</v>
      </c>
      <c r="J158">
        <v>0</v>
      </c>
      <c r="K158">
        <v>0</v>
      </c>
      <c r="L158">
        <v>85</v>
      </c>
      <c r="M158">
        <v>0</v>
      </c>
    </row>
    <row r="159" spans="1:13" x14ac:dyDescent="0.35">
      <c r="A159">
        <v>158</v>
      </c>
      <c r="B159" s="1" t="s">
        <v>48</v>
      </c>
      <c r="C159" s="3">
        <v>4</v>
      </c>
      <c r="D159" t="str">
        <f>_xlfn.SWITCH(表1_4[[#This Row],[color]],1,"♥",2,"♦",3,"♠",4,"♣")</f>
        <v>♣</v>
      </c>
      <c r="E159">
        <v>11</v>
      </c>
      <c r="F159" s="3">
        <v>2</v>
      </c>
      <c r="G159" t="str">
        <f>_xlfn.SWITCH(表1_4[[#This Row],[type]],1,"基本",2,"锦囊",3,"装备")</f>
        <v>锦囊</v>
      </c>
      <c r="H159">
        <v>0</v>
      </c>
      <c r="I159">
        <v>0</v>
      </c>
      <c r="J159">
        <v>0</v>
      </c>
      <c r="K159">
        <v>0</v>
      </c>
      <c r="L159">
        <v>85</v>
      </c>
      <c r="M159">
        <v>0</v>
      </c>
    </row>
    <row r="160" spans="1:13" x14ac:dyDescent="0.35">
      <c r="A160">
        <v>159</v>
      </c>
      <c r="B160" s="1" t="s">
        <v>48</v>
      </c>
      <c r="C160" s="3">
        <v>4</v>
      </c>
      <c r="D160" t="str">
        <f>_xlfn.SWITCH(表1_4[[#This Row],[color]],1,"♥",2,"♦",3,"♠",4,"♣")</f>
        <v>♣</v>
      </c>
      <c r="E160">
        <v>12</v>
      </c>
      <c r="F160" s="3">
        <v>2</v>
      </c>
      <c r="G160" t="str">
        <f>_xlfn.SWITCH(表1_4[[#This Row],[type]],1,"基本",2,"锦囊",3,"装备")</f>
        <v>锦囊</v>
      </c>
      <c r="H160">
        <v>0</v>
      </c>
      <c r="I160">
        <v>0</v>
      </c>
      <c r="J160">
        <v>0</v>
      </c>
      <c r="K160">
        <v>0</v>
      </c>
      <c r="L160">
        <v>85</v>
      </c>
      <c r="M160">
        <v>0</v>
      </c>
    </row>
    <row r="161" spans="1:13" x14ac:dyDescent="0.35">
      <c r="A161">
        <v>160</v>
      </c>
      <c r="B161" s="1" t="s">
        <v>48</v>
      </c>
      <c r="C161" s="3">
        <v>4</v>
      </c>
      <c r="D161" t="str">
        <f>_xlfn.SWITCH(表1_4[[#This Row],[color]],1,"♥",2,"♦",3,"♠",4,"♣")</f>
        <v>♣</v>
      </c>
      <c r="E161">
        <v>13</v>
      </c>
      <c r="F161" s="3">
        <v>2</v>
      </c>
      <c r="G161" t="str">
        <f>_xlfn.SWITCH(表1_4[[#This Row],[type]],1,"基本",2,"锦囊",3,"装备")</f>
        <v>锦囊</v>
      </c>
      <c r="H161">
        <v>0</v>
      </c>
      <c r="I161">
        <v>0</v>
      </c>
      <c r="J161">
        <v>0</v>
      </c>
      <c r="K161">
        <v>0</v>
      </c>
      <c r="L161">
        <v>85</v>
      </c>
      <c r="M161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文家宝</dc:creator>
  <cp:lastModifiedBy>文家宝</cp:lastModifiedBy>
  <dcterms:created xsi:type="dcterms:W3CDTF">2025-06-18T12:22:24Z</dcterms:created>
  <dcterms:modified xsi:type="dcterms:W3CDTF">2026-07-21T06:45:03Z</dcterms:modified>
</cp:coreProperties>
</file>