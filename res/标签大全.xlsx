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orkplace\PythonWorkplace\Probability\res\"/>
    </mc:Choice>
  </mc:AlternateContent>
  <xr:revisionPtr revIDLastSave="0" documentId="13_ncr:1_{32992343-2CCF-42B5-BA00-2AD9A6465749}" xr6:coauthVersionLast="36" xr6:coauthVersionMax="47" xr10:uidLastSave="{00000000-0000-0000-0000-000000000000}"/>
  <bookViews>
    <workbookView xWindow="-105" yWindow="-105" windowWidth="41490" windowHeight="16770" xr2:uid="{51AAA0D9-229E-4E49-83B0-5342FE57A35A}"/>
  </bookViews>
  <sheets>
    <sheet name="160" sheetId="3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3" l="1"/>
  <c r="D27" i="3"/>
  <c r="G26" i="3"/>
  <c r="D26" i="3"/>
  <c r="G25" i="3"/>
  <c r="D25" i="3"/>
  <c r="G24" i="3"/>
  <c r="D24" i="3"/>
  <c r="G136" i="3"/>
  <c r="D136" i="3"/>
  <c r="G117" i="3"/>
  <c r="D117" i="3"/>
  <c r="G116" i="3"/>
  <c r="D116" i="3"/>
  <c r="G115" i="3"/>
  <c r="D115" i="3"/>
  <c r="G114" i="3"/>
  <c r="D114" i="3"/>
  <c r="G158" i="3"/>
  <c r="D158" i="3"/>
  <c r="G135" i="3"/>
  <c r="D135" i="3"/>
  <c r="G29" i="3"/>
  <c r="D29" i="3"/>
  <c r="G159" i="3"/>
  <c r="D159" i="3"/>
  <c r="G20" i="3"/>
  <c r="D20" i="3"/>
  <c r="G23" i="3"/>
  <c r="D23" i="3"/>
  <c r="G22" i="3"/>
  <c r="D22" i="3"/>
  <c r="G157" i="3"/>
  <c r="D157" i="3"/>
  <c r="G134" i="3"/>
  <c r="D134" i="3"/>
  <c r="G113" i="3"/>
  <c r="D113" i="3"/>
  <c r="G112" i="3"/>
  <c r="D112" i="3"/>
  <c r="G111" i="3"/>
  <c r="D111" i="3"/>
  <c r="G110" i="3"/>
  <c r="D110" i="3"/>
  <c r="G109" i="3"/>
  <c r="D109" i="3"/>
  <c r="G133" i="3"/>
  <c r="D133" i="3"/>
  <c r="G28" i="3"/>
  <c r="D28" i="3"/>
  <c r="G151" i="3"/>
  <c r="D151" i="3"/>
  <c r="G142" i="3"/>
  <c r="D142" i="3"/>
  <c r="G141" i="3"/>
  <c r="D141" i="3"/>
  <c r="G73" i="3"/>
  <c r="D73" i="3"/>
  <c r="G72" i="3"/>
  <c r="D72" i="3"/>
  <c r="G132" i="3"/>
  <c r="D132" i="3"/>
  <c r="G71" i="3"/>
  <c r="D71" i="3"/>
  <c r="G70" i="3"/>
  <c r="D70" i="3"/>
  <c r="G69" i="3"/>
  <c r="D69" i="3"/>
  <c r="G108" i="3"/>
  <c r="D108" i="3"/>
  <c r="G107" i="3"/>
  <c r="D107" i="3"/>
  <c r="G42" i="3"/>
  <c r="D42" i="3"/>
  <c r="G41" i="3"/>
  <c r="D41" i="3"/>
  <c r="G5" i="3"/>
  <c r="D5" i="3"/>
  <c r="G19" i="3"/>
  <c r="D19" i="3"/>
  <c r="G68" i="3"/>
  <c r="D68" i="3"/>
  <c r="G67" i="3"/>
  <c r="D67" i="3"/>
  <c r="G106" i="3"/>
  <c r="D106" i="3"/>
  <c r="G66" i="3"/>
  <c r="D66" i="3"/>
  <c r="G65" i="3"/>
  <c r="D65" i="3"/>
  <c r="G105" i="3"/>
  <c r="D105" i="3"/>
  <c r="G40" i="3"/>
  <c r="D40" i="3"/>
  <c r="G39" i="3"/>
  <c r="D39" i="3"/>
  <c r="G104" i="3"/>
  <c r="D104" i="3"/>
  <c r="G140" i="3"/>
  <c r="D140" i="3"/>
  <c r="G139" i="3"/>
  <c r="D139" i="3"/>
  <c r="G18" i="3"/>
  <c r="D18" i="3"/>
  <c r="G143" i="3"/>
  <c r="D143" i="3"/>
  <c r="G118" i="3"/>
  <c r="D118" i="3"/>
  <c r="G17" i="3"/>
  <c r="D17" i="3"/>
  <c r="G49" i="3"/>
  <c r="D49" i="3"/>
  <c r="G154" i="3"/>
  <c r="D154" i="3"/>
  <c r="G7" i="3"/>
  <c r="D7" i="3"/>
  <c r="G16" i="3"/>
  <c r="D16" i="3"/>
  <c r="G103" i="3"/>
  <c r="D103" i="3"/>
  <c r="G102" i="3"/>
  <c r="D102" i="3"/>
  <c r="G101" i="3"/>
  <c r="D101" i="3"/>
  <c r="G124" i="3"/>
  <c r="D124" i="3"/>
  <c r="G127" i="3"/>
  <c r="D127" i="3"/>
  <c r="G119" i="3"/>
  <c r="D119" i="3"/>
  <c r="G149" i="3"/>
  <c r="D149" i="3"/>
  <c r="G148" i="3"/>
  <c r="D148" i="3"/>
  <c r="G161" i="3"/>
  <c r="D161" i="3"/>
  <c r="G48" i="3"/>
  <c r="D48" i="3"/>
  <c r="G123" i="3"/>
  <c r="D123" i="3"/>
  <c r="G147" i="3"/>
  <c r="D147" i="3"/>
  <c r="G47" i="3"/>
  <c r="D47" i="3"/>
  <c r="G100" i="3"/>
  <c r="D100" i="3"/>
  <c r="G99" i="3"/>
  <c r="D99" i="3"/>
  <c r="G98" i="3"/>
  <c r="D98" i="3"/>
  <c r="G97" i="3"/>
  <c r="D97" i="3"/>
  <c r="G120" i="3"/>
  <c r="D120" i="3"/>
  <c r="G128" i="3"/>
  <c r="D128" i="3"/>
  <c r="G46" i="3"/>
  <c r="D46" i="3"/>
  <c r="G45" i="3"/>
  <c r="D45" i="3"/>
  <c r="G155" i="3"/>
  <c r="D155" i="3"/>
  <c r="G131" i="3"/>
  <c r="D131" i="3"/>
  <c r="G138" i="3"/>
  <c r="D138" i="3"/>
  <c r="G137" i="3"/>
  <c r="D137" i="3"/>
  <c r="G96" i="3"/>
  <c r="D96" i="3"/>
  <c r="G95" i="3"/>
  <c r="D95" i="3"/>
  <c r="G94" i="3"/>
  <c r="D94" i="3"/>
  <c r="G93" i="3"/>
  <c r="D93" i="3"/>
  <c r="G122" i="3"/>
  <c r="D122" i="3"/>
  <c r="G126" i="3"/>
  <c r="D126" i="3"/>
  <c r="G153" i="3"/>
  <c r="D153" i="3"/>
  <c r="G146" i="3"/>
  <c r="D146" i="3"/>
  <c r="G145" i="3"/>
  <c r="D145" i="3"/>
  <c r="G160" i="3"/>
  <c r="D160" i="3"/>
  <c r="G4" i="3"/>
  <c r="D4" i="3"/>
  <c r="G15" i="3"/>
  <c r="D15" i="3"/>
  <c r="G14" i="3"/>
  <c r="D14" i="3"/>
  <c r="G92" i="3"/>
  <c r="D92" i="3"/>
  <c r="G91" i="3"/>
  <c r="D91" i="3"/>
  <c r="G90" i="3"/>
  <c r="D90" i="3"/>
  <c r="G89" i="3"/>
  <c r="D89" i="3"/>
  <c r="G88" i="3"/>
  <c r="D88" i="3"/>
  <c r="G87" i="3"/>
  <c r="D87" i="3"/>
  <c r="G86" i="3"/>
  <c r="D86" i="3"/>
  <c r="G85" i="3"/>
  <c r="D85" i="3"/>
  <c r="G84" i="3"/>
  <c r="D84" i="3"/>
  <c r="G83" i="3"/>
  <c r="D83" i="3"/>
  <c r="G130" i="3"/>
  <c r="D130" i="3"/>
  <c r="G6" i="3"/>
  <c r="D6" i="3"/>
  <c r="G38" i="3"/>
  <c r="D38" i="3"/>
  <c r="G82" i="3"/>
  <c r="D82" i="3"/>
  <c r="G81" i="3"/>
  <c r="D81" i="3"/>
  <c r="G37" i="3"/>
  <c r="D37" i="3"/>
  <c r="G36" i="3"/>
  <c r="D36" i="3"/>
  <c r="G35" i="3"/>
  <c r="D35" i="3"/>
  <c r="G34" i="3"/>
  <c r="D34" i="3"/>
  <c r="G121" i="3"/>
  <c r="D121" i="3"/>
  <c r="G33" i="3"/>
  <c r="D33" i="3"/>
  <c r="G32" i="3"/>
  <c r="D32" i="3"/>
  <c r="G64" i="3"/>
  <c r="D64" i="3"/>
  <c r="G30" i="3"/>
  <c r="D30" i="3"/>
  <c r="G63" i="3"/>
  <c r="D63" i="3"/>
  <c r="G144" i="3"/>
  <c r="D144" i="3"/>
  <c r="G13" i="3"/>
  <c r="D13" i="3"/>
  <c r="G80" i="3"/>
  <c r="D80" i="3"/>
  <c r="G12" i="3"/>
  <c r="D12" i="3"/>
  <c r="G11" i="3"/>
  <c r="D11" i="3"/>
  <c r="G10" i="3"/>
  <c r="D10" i="3"/>
  <c r="G125" i="3"/>
  <c r="D125" i="3"/>
  <c r="G156" i="3"/>
  <c r="D156" i="3"/>
  <c r="G9" i="3"/>
  <c r="D9" i="3"/>
  <c r="G8" i="3"/>
  <c r="D8" i="3"/>
  <c r="G62" i="3"/>
  <c r="D62" i="3"/>
  <c r="G21" i="3"/>
  <c r="D21" i="3"/>
  <c r="G79" i="3"/>
  <c r="D79" i="3"/>
  <c r="G31" i="3"/>
  <c r="D31" i="3"/>
  <c r="G61" i="3"/>
  <c r="D61" i="3"/>
  <c r="G60" i="3"/>
  <c r="D60" i="3"/>
  <c r="G59" i="3"/>
  <c r="D59" i="3"/>
  <c r="G58" i="3"/>
  <c r="D58" i="3"/>
  <c r="G57" i="3"/>
  <c r="D57" i="3"/>
  <c r="G56" i="3"/>
  <c r="D56" i="3"/>
  <c r="G55" i="3"/>
  <c r="D55" i="3"/>
  <c r="G54" i="3"/>
  <c r="D54" i="3"/>
  <c r="G53" i="3"/>
  <c r="D53" i="3"/>
  <c r="G52" i="3"/>
  <c r="D52" i="3"/>
  <c r="G3" i="3"/>
  <c r="D3" i="3"/>
  <c r="G2" i="3"/>
  <c r="D2" i="3"/>
  <c r="G152" i="3"/>
  <c r="D152" i="3"/>
  <c r="G51" i="3"/>
  <c r="D51" i="3"/>
  <c r="G78" i="3"/>
  <c r="D78" i="3"/>
  <c r="G77" i="3"/>
  <c r="D77" i="3"/>
  <c r="G76" i="3"/>
  <c r="D76" i="3"/>
  <c r="G75" i="3"/>
  <c r="D75" i="3"/>
  <c r="G74" i="3"/>
  <c r="D74" i="3"/>
  <c r="G150" i="3"/>
  <c r="D150" i="3"/>
  <c r="G44" i="3"/>
  <c r="D44" i="3"/>
  <c r="G43" i="3"/>
  <c r="D43" i="3"/>
  <c r="G50" i="3"/>
  <c r="D50" i="3"/>
  <c r="G129" i="3"/>
  <c r="D12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AFF5FC-6005-42E7-9348-314FBFA845B0}" name="sys_playcard" type="4" refreshedVersion="0" background="1">
    <webPr xml="1" sourceData="1" url="D:\workplace\Layout\DIYArt\doc\sys_playcard.xml" htmlTables="1" htmlFormat="all"/>
  </connection>
</connections>
</file>

<file path=xl/sharedStrings.xml><?xml version="1.0" encoding="utf-8"?>
<sst xmlns="http://schemas.openxmlformats.org/spreadsheetml/2006/main" count="333" uniqueCount="60">
  <si>
    <t>name</t>
    <phoneticPr fontId="1" type="noConversion"/>
  </si>
  <si>
    <t>type</t>
    <phoneticPr fontId="1" type="noConversion"/>
  </si>
  <si>
    <t>subType</t>
    <phoneticPr fontId="1" type="noConversion"/>
  </si>
  <si>
    <t>number</t>
    <phoneticPr fontId="1" type="noConversion"/>
  </si>
  <si>
    <t>color</t>
    <phoneticPr fontId="1" type="noConversion"/>
  </si>
  <si>
    <t>attRange</t>
    <phoneticPr fontId="1" type="noConversion"/>
  </si>
  <si>
    <t>attDistance</t>
    <phoneticPr fontId="1" type="noConversion"/>
  </si>
  <si>
    <t>defDistance</t>
    <phoneticPr fontId="1" type="noConversion"/>
  </si>
  <si>
    <t>spellId</t>
    <phoneticPr fontId="1" type="noConversion"/>
  </si>
  <si>
    <t>决斗</t>
  </si>
  <si>
    <t>闪</t>
  </si>
  <si>
    <t>顺手牵羊</t>
  </si>
  <si>
    <t>贯石斧</t>
  </si>
  <si>
    <t>杀</t>
  </si>
  <si>
    <t>方天画戟</t>
  </si>
  <si>
    <t>紫騂</t>
  </si>
  <si>
    <t>诸葛连弩</t>
  </si>
  <si>
    <t>桃</t>
  </si>
  <si>
    <t>万箭齐发</t>
  </si>
  <si>
    <t>五谷丰登</t>
  </si>
  <si>
    <t>赤兔</t>
  </si>
  <si>
    <t>乐不思蜀</t>
  </si>
  <si>
    <t>无中生有</t>
  </si>
  <si>
    <t>过河拆桥</t>
  </si>
  <si>
    <t>桃园结义</t>
  </si>
  <si>
    <t>麒麟弓</t>
  </si>
  <si>
    <t>爪黄飞电</t>
  </si>
  <si>
    <t>无懈可击</t>
  </si>
  <si>
    <t>八卦阵</t>
  </si>
  <si>
    <t>的卢</t>
  </si>
  <si>
    <t>南蛮入侵</t>
  </si>
  <si>
    <t>借刀杀人</t>
  </si>
  <si>
    <t>雌雄双股剑</t>
  </si>
  <si>
    <t>绝影</t>
  </si>
  <si>
    <t>青釭剑</t>
  </si>
  <si>
    <t>闪电</t>
  </si>
  <si>
    <t>青龙偃月刀</t>
  </si>
  <si>
    <t>丈八蛇矛</t>
  </si>
  <si>
    <t>大宛</t>
  </si>
  <si>
    <t>仁王盾</t>
  </si>
  <si>
    <t>寒冰剑</t>
  </si>
  <si>
    <t>火攻</t>
  </si>
  <si>
    <t>朱雀羽扇</t>
  </si>
  <si>
    <t>酒</t>
  </si>
  <si>
    <t>骅骝</t>
  </si>
  <si>
    <t>古锭刀</t>
  </si>
  <si>
    <t>藤甲</t>
  </si>
  <si>
    <t>兵粮寸断</t>
  </si>
  <si>
    <t>铁索连环</t>
  </si>
  <si>
    <t>白银狮子</t>
  </si>
  <si>
    <t>id</t>
    <phoneticPr fontId="1" type="noConversion"/>
  </si>
  <si>
    <t>color2</t>
  </si>
  <si>
    <t>type2</t>
  </si>
  <si>
    <t>杀</t>
    <phoneticPr fontId="5" type="noConversion"/>
  </si>
  <si>
    <t>优选锦囊</t>
    <phoneticPr fontId="5" type="noConversion"/>
  </si>
  <si>
    <t>锦囊</t>
  </si>
  <si>
    <t>颅行</t>
  </si>
  <si>
    <t>颅行</t>
    <phoneticPr fontId="1" type="noConversion"/>
  </si>
  <si>
    <t>双结算锦囊</t>
    <phoneticPr fontId="5" type="noConversion"/>
  </si>
  <si>
    <t>伤害锦囊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</si>
</sst>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8"/>
      <color theme="1"/>
      <name val="vivo Sans"/>
      <family val="2"/>
      <charset val="134"/>
    </font>
    <font>
      <sz val="9"/>
      <name val="vivo Sans"/>
      <family val="2"/>
      <charset val="134"/>
    </font>
    <font>
      <sz val="18"/>
      <color rgb="FFFF0000"/>
      <name val="vivo Sans"/>
      <family val="2"/>
      <charset val="134"/>
    </font>
    <font>
      <sz val="18"/>
      <color theme="0" tint="-4.9989318521683403E-2"/>
      <name val="vivo Sans"/>
      <family val="2"/>
      <charset val="134"/>
    </font>
    <font>
      <sz val="18"/>
      <color theme="1"/>
      <name val="vivo Sans"/>
      <family val="2"/>
      <charset val="134"/>
    </font>
    <font>
      <sz val="9"/>
      <name val="vivo Sans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1" applyNumberFormat="1">
      <alignment vertical="center"/>
    </xf>
    <xf numFmtId="49" fontId="0" fillId="0" borderId="0" xfId="1" applyNumberFormat="1" applyFont="1">
      <alignment vertical="center"/>
    </xf>
    <xf numFmtId="49" fontId="4" fillId="0" borderId="0" xfId="1" applyNumberFormat="1" applyFill="1">
      <alignment vertical="center"/>
    </xf>
  </cellXfs>
  <cellStyles count="2">
    <cellStyle name="常规" xfId="0" builtinId="0"/>
    <cellStyle name="常规 2" xfId="1" xr:uid="{34F31847-D318-41CD-8712-472539AD21AE}"/>
  </cellStyles>
  <dxfs count="6">
    <dxf>
      <numFmt numFmtId="30" formatCode="@"/>
      <fill>
        <patternFill patternType="none">
          <fgColor indexed="64"/>
          <bgColor indexed="65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8"/>
        <color theme="0" tint="-4.9989318521683403E-2"/>
        <name val="vivo Sans"/>
        <charset val="134"/>
        <scheme val="none"/>
      </font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8"/>
        <color theme="0" tint="-4.9989318521683403E-2"/>
        <name val="vivo Sans"/>
        <charset val="134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GamePlayCards">
        <xsd:complexType>
          <xsd:sequence minOccurs="0">
            <xsd:element minOccurs="0" maxOccurs="unbounded" nillable="true" name="card" form="unqualified">
              <xsd:complexType>
                <xsd:attribute name="id" form="unqualified" type="xsd:integer"/>
                <xsd:attribute name="name" form="unqualified" type="xsd:string"/>
                <xsd:attribute name="type" form="unqualified" type="xsd:integer"/>
                <xsd:attribute name="subType" form="unqualified" type="xsd:integer"/>
                <xsd:attribute name="exType" form="unqualified" type="xsd:integer"/>
                <xsd:attribute name="number" form="unqualified" type="xsd:integer"/>
                <xsd:attribute name="color" form="unqualified" type="xsd:integer"/>
                <xsd:attribute name="attRange" form="unqualified" type="xsd:integer"/>
                <xsd:attribute name="attDistance" form="unqualified" type="xsd:integer"/>
                <xsd:attribute name="defDistance" form="unqualified" type="xsd:integer"/>
                <xsd:attribute name="spellId" form="unqualified" type="xsd:integer"/>
                <xsd:attribute name="imageId" form="unqualified" type="xsd:integer"/>
                <xsd:attribute name="union" form="unqualified" type="xsd:integer"/>
                <xsd:attribute name="recycle" form="unqualified" type="xsd:string"/>
                <xsd:attribute name="enhanceCond" form="unqualified" type="xsd:integer"/>
                <xsd:attribute name="enhanceEffect" form="unqualified" type="xsd:integer"/>
              </xsd:complexType>
            </xsd:element>
            <xsd:element minOccurs="0" maxOccurs="unbounded" nillable="true" name="card_H5" form="unqualified">
              <xsd:complexType>
                <xsd:attribute name="id" form="unqualified" type="xsd:integer"/>
                <xsd:attribute name="name" form="unqualified" type="xsd:string"/>
                <xsd:attribute name="type" form="unqualified" type="xsd:integer"/>
                <xsd:attribute name="subType" form="unqualified" type="xsd:integer"/>
                <xsd:attribute name="exType" form="unqualified" type="xsd:integer"/>
                <xsd:attribute name="number" form="unqualified" type="xsd:integer"/>
                <xsd:attribute name="color" form="unqualified" type="xsd:integer"/>
                <xsd:attribute name="attRange" form="unqualified" type="xsd:integer"/>
                <xsd:attribute name="attDistance" form="unqualified" type="xsd:integer"/>
                <xsd:attribute name="defDistance" form="unqualified" type="xsd:integer"/>
                <xsd:attribute name="spellId" form="unqualified" type="xsd:integer"/>
                <xsd:attribute name="imageId" form="unqualified" type="xsd:integer"/>
              </xsd:complexType>
            </xsd:element>
          </xsd:sequence>
        </xsd:complexType>
      </xsd:element>
    </xsd:schema>
  </Schema>
  <Map ID="1" Name="GamePlayCards_映射" RootElement="GamePlayCa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005F87-753C-4035-AF28-88921D0D29EA}" name="表1_4" displayName="表1_4" ref="A1:S161" totalsRowShown="0">
  <autoFilter ref="A1:S161" xr:uid="{516B080F-E782-44DC-9583-A7A64AC02D85}"/>
  <sortState ref="A2:S161">
    <sortCondition descending="1" ref="B1:B161"/>
  </sortState>
  <tableColumns count="19">
    <tableColumn id="12" xr3:uid="{64BBCE38-5936-4C87-AF10-3349147B669B}" name="id"/>
    <tableColumn id="2" xr3:uid="{2EB3C21C-5941-4E90-97BD-C27CBE419CE0}" name="name"/>
    <tableColumn id="7" xr3:uid="{F4F1965D-5402-4058-98C7-57132F18887D}" name="color" dataDxfId="5"/>
    <tableColumn id="30" xr3:uid="{C3FBF4DF-3C39-48B3-BF92-AE40DCD7AD9E}" name="color2" dataDxfId="4">
      <calculatedColumnFormula>_xlfn.SWITCH(表1_4[[#This Row],[color]],1,"♥",2,"♦",3,"♠",4,"♣")</calculatedColumnFormula>
    </tableColumn>
    <tableColumn id="6" xr3:uid="{20FEF319-AA80-4C81-B8DF-08C462A95C10}" name="number" dataDxfId="3"/>
    <tableColumn id="3" xr3:uid="{8828C2AC-F1D7-4175-A020-E4B13A141F3A}" name="type" dataDxfId="2"/>
    <tableColumn id="31" xr3:uid="{E02AAF82-DD05-43E9-8EFC-939F9579270A}" name="type2" dataDxfId="1">
      <calculatedColumnFormula>_xlfn.SWITCH(表1_4[[#This Row],[type]],1,"基本",2,"锦囊",3,"装备")</calculatedColumnFormula>
    </tableColumn>
    <tableColumn id="4" xr3:uid="{B2B49654-EE63-4B5E-A135-25E5EECF1BE2}" name="subType"/>
    <tableColumn id="8" xr3:uid="{B9B6264B-B491-451A-A415-D492C7DF45C7}" name="attRange"/>
    <tableColumn id="9" xr3:uid="{4FF0B498-311B-4782-BACC-D5B8631F833A}" name="attDistance"/>
    <tableColumn id="10" xr3:uid="{BC677E26-FD68-45B3-B840-8749FEFDF591}" name="defDistance"/>
    <tableColumn id="11" xr3:uid="{A05B0A1A-53BB-4EFD-AC2D-FC62A816498E}" name="spellId"/>
    <tableColumn id="17" xr3:uid="{01904350-CF67-406B-9185-6A169A39D612}" name="伤害锦囊"/>
    <tableColumn id="16" xr3:uid="{71E82C6F-E7AE-48BC-A3CC-E496035B7A55}" name="颅行" dataDxfId="0" dataCellStyle="常规 2"/>
    <tableColumn id="1" xr3:uid="{3C81F222-E66B-4540-92F8-0ED6D2BD9443}" name="锦囊"/>
    <tableColumn id="5" xr3:uid="{7B1355E0-1CAA-49A6-9305-23A896CD5642}" name="双结算锦囊"/>
    <tableColumn id="13" xr3:uid="{59C95667-0DFE-4880-B94E-9A126069AE92}" name="杀"/>
    <tableColumn id="14" xr3:uid="{5DF6C125-C7A9-4DF8-8426-5C663B600334}" name="桃"/>
    <tableColumn id="15" xr3:uid="{98EE28A8-0834-4AE6-AF71-2D94FC80B3A3}" name="酒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主题4">
  <a:themeElements>
    <a:clrScheme name="自信红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FF5033"/>
      </a:accent1>
      <a:accent2>
        <a:srgbClr val="FF9381"/>
      </a:accent2>
      <a:accent3>
        <a:srgbClr val="C81D00"/>
      </a:accent3>
      <a:accent4>
        <a:srgbClr val="FFC261"/>
      </a:accent4>
      <a:accent5>
        <a:srgbClr val="FFD99B"/>
      </a:accent5>
      <a:accent6>
        <a:srgbClr val="FFAC25"/>
      </a:accent6>
      <a:hlink>
        <a:srgbClr val="F49100"/>
      </a:hlink>
      <a:folHlink>
        <a:srgbClr val="85DFD0"/>
      </a:folHlink>
    </a:clrScheme>
    <a:fontScheme name="VIVONOTO">
      <a:majorFont>
        <a:latin typeface="Noto Sans Display ExtraBold"/>
        <a:ea typeface="vivo Sans Extrabold"/>
        <a:cs typeface=""/>
      </a:majorFont>
      <a:minorFont>
        <a:latin typeface="Noto Sans Display"/>
        <a:ea typeface="vivo Sans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主题4" id="{E6A73D6A-F3FB-4B83-8444-54B5FEB86223}" vid="{1223048E-920A-4067-8D8F-53F74A736DB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EA50-A07E-49F2-BF5D-56302F8712A2}">
  <dimension ref="A1:S161"/>
  <sheetViews>
    <sheetView tabSelected="1" topLeftCell="A97" workbookViewId="0">
      <selection activeCell="A117" sqref="A117:XFD117"/>
    </sheetView>
  </sheetViews>
  <sheetFormatPr defaultRowHeight="23.25" x14ac:dyDescent="0.35"/>
  <cols>
    <col min="1" max="1" width="6.06640625" customWidth="1"/>
    <col min="2" max="2" width="12.3984375" bestFit="1" customWidth="1"/>
    <col min="3" max="3" width="6.06640625" style="3" bestFit="1" customWidth="1"/>
    <col min="4" max="4" width="2.6640625" customWidth="1"/>
    <col min="5" max="5" width="3.3984375" customWidth="1"/>
    <col min="6" max="6" width="5.73046875" style="3" customWidth="1"/>
    <col min="7" max="7" width="5.73046875" customWidth="1"/>
    <col min="8" max="8" width="9" bestFit="1" customWidth="1"/>
    <col min="12" max="12" width="8.33203125" bestFit="1" customWidth="1"/>
    <col min="14" max="14" width="7.53125" customWidth="1"/>
  </cols>
  <sheetData>
    <row r="1" spans="1:19" x14ac:dyDescent="0.35">
      <c r="A1" t="s">
        <v>50</v>
      </c>
      <c r="B1" t="s">
        <v>0</v>
      </c>
      <c r="C1" s="3" t="s">
        <v>4</v>
      </c>
      <c r="D1" t="s">
        <v>51</v>
      </c>
      <c r="E1" t="s">
        <v>3</v>
      </c>
      <c r="F1" s="3" t="s">
        <v>1</v>
      </c>
      <c r="G1" t="s">
        <v>52</v>
      </c>
      <c r="H1" t="s">
        <v>2</v>
      </c>
      <c r="I1" t="s">
        <v>5</v>
      </c>
      <c r="J1" t="s">
        <v>6</v>
      </c>
      <c r="K1" t="s">
        <v>7</v>
      </c>
      <c r="L1" t="s">
        <v>8</v>
      </c>
      <c r="M1" t="s">
        <v>59</v>
      </c>
      <c r="N1" t="s">
        <v>57</v>
      </c>
      <c r="O1" s="4" t="s">
        <v>55</v>
      </c>
      <c r="P1" s="5" t="s">
        <v>58</v>
      </c>
      <c r="Q1" s="4" t="s">
        <v>53</v>
      </c>
      <c r="R1" s="4" t="s">
        <v>17</v>
      </c>
      <c r="S1" s="4" t="s">
        <v>43</v>
      </c>
    </row>
    <row r="2" spans="1:19" x14ac:dyDescent="0.35">
      <c r="A2">
        <v>13</v>
      </c>
      <c r="B2" s="1" t="s">
        <v>15</v>
      </c>
      <c r="C2" s="3">
        <v>2</v>
      </c>
      <c r="D2" s="2" t="str">
        <f>_xlfn.SWITCH(表1_4[[#This Row],[color]],1,"♥",2,"♦",3,"♠",4,"♣")</f>
        <v>♦</v>
      </c>
      <c r="E2">
        <v>13</v>
      </c>
      <c r="F2" s="3">
        <v>3</v>
      </c>
      <c r="G2" t="str">
        <f>_xlfn.SWITCH(表1_4[[#This Row],[type]],1,"基本",2,"锦囊",3,"装备")</f>
        <v>装备</v>
      </c>
      <c r="H2">
        <v>4</v>
      </c>
      <c r="I2">
        <v>0</v>
      </c>
      <c r="J2">
        <v>1</v>
      </c>
      <c r="K2">
        <v>0</v>
      </c>
      <c r="L2">
        <v>18</v>
      </c>
      <c r="N2" s="6"/>
      <c r="O2" s="4"/>
      <c r="P2" s="4"/>
      <c r="Q2" s="4"/>
      <c r="R2" s="4"/>
      <c r="S2" s="4"/>
    </row>
    <row r="3" spans="1:19" x14ac:dyDescent="0.35">
      <c r="A3">
        <v>14</v>
      </c>
      <c r="B3" s="1" t="s">
        <v>16</v>
      </c>
      <c r="C3" s="3">
        <v>2</v>
      </c>
      <c r="D3" s="2" t="str">
        <f>_xlfn.SWITCH(表1_4[[#This Row],[color]],1,"♥",2,"♦",3,"♠",4,"♣")</f>
        <v>♦</v>
      </c>
      <c r="E3">
        <v>1</v>
      </c>
      <c r="F3" s="3">
        <v>3</v>
      </c>
      <c r="G3" t="str">
        <f>_xlfn.SWITCH(表1_4[[#This Row],[type]],1,"基本",2,"锦囊",3,"装备")</f>
        <v>装备</v>
      </c>
      <c r="H3">
        <v>1</v>
      </c>
      <c r="I3">
        <v>1</v>
      </c>
      <c r="J3">
        <v>0</v>
      </c>
      <c r="K3">
        <v>0</v>
      </c>
      <c r="L3">
        <v>23</v>
      </c>
      <c r="N3" s="6"/>
      <c r="O3" s="4"/>
      <c r="P3" s="4"/>
      <c r="Q3" s="4"/>
      <c r="R3" s="4"/>
      <c r="S3" s="4"/>
    </row>
    <row r="4" spans="1:19" x14ac:dyDescent="0.35">
      <c r="A4">
        <v>66</v>
      </c>
      <c r="B4" s="1" t="s">
        <v>16</v>
      </c>
      <c r="C4" s="3">
        <v>4</v>
      </c>
      <c r="D4" t="str">
        <f>_xlfn.SWITCH(表1_4[[#This Row],[color]],1,"♥",2,"♦",3,"♠",4,"♣")</f>
        <v>♣</v>
      </c>
      <c r="E4">
        <v>1</v>
      </c>
      <c r="F4" s="3">
        <v>3</v>
      </c>
      <c r="G4" t="str">
        <f>_xlfn.SWITCH(表1_4[[#This Row],[type]],1,"基本",2,"锦囊",3,"装备")</f>
        <v>装备</v>
      </c>
      <c r="H4">
        <v>1</v>
      </c>
      <c r="I4">
        <v>1</v>
      </c>
      <c r="J4">
        <v>0</v>
      </c>
      <c r="K4">
        <v>0</v>
      </c>
      <c r="L4">
        <v>23</v>
      </c>
      <c r="N4" s="6"/>
      <c r="O4" s="4"/>
      <c r="P4" s="4"/>
      <c r="Q4" s="4"/>
      <c r="R4" s="4"/>
      <c r="S4" s="4"/>
    </row>
    <row r="5" spans="1:19" x14ac:dyDescent="0.35">
      <c r="A5">
        <v>122</v>
      </c>
      <c r="B5" s="1" t="s">
        <v>42</v>
      </c>
      <c r="C5" s="3">
        <v>2</v>
      </c>
      <c r="D5" s="2" t="str">
        <f>_xlfn.SWITCH(表1_4[[#This Row],[color]],1,"♥",2,"♦",3,"♠",4,"♣")</f>
        <v>♦</v>
      </c>
      <c r="E5">
        <v>1</v>
      </c>
      <c r="F5" s="3">
        <v>3</v>
      </c>
      <c r="G5" t="str">
        <f>_xlfn.SWITCH(表1_4[[#This Row],[type]],1,"基本",2,"锦囊",3,"装备")</f>
        <v>装备</v>
      </c>
      <c r="H5">
        <v>1</v>
      </c>
      <c r="I5">
        <v>4</v>
      </c>
      <c r="J5">
        <v>0</v>
      </c>
      <c r="K5">
        <v>0</v>
      </c>
      <c r="L5">
        <v>87</v>
      </c>
      <c r="N5" s="6"/>
      <c r="O5" s="4"/>
      <c r="P5" s="4"/>
      <c r="Q5" s="4"/>
      <c r="R5" s="4"/>
      <c r="S5" s="4"/>
    </row>
    <row r="6" spans="1:19" x14ac:dyDescent="0.35">
      <c r="A6">
        <v>52</v>
      </c>
      <c r="B6" s="1" t="s">
        <v>26</v>
      </c>
      <c r="C6" s="3">
        <v>1</v>
      </c>
      <c r="D6" s="2" t="str">
        <f>_xlfn.SWITCH(表1_4[[#This Row],[color]],1,"♥",2,"♦",3,"♠",4,"♣")</f>
        <v>♥</v>
      </c>
      <c r="E6">
        <v>13</v>
      </c>
      <c r="F6" s="3">
        <v>3</v>
      </c>
      <c r="G6" t="str">
        <f>_xlfn.SWITCH(表1_4[[#This Row],[type]],1,"基本",2,"锦囊",3,"装备")</f>
        <v>装备</v>
      </c>
      <c r="H6">
        <v>3</v>
      </c>
      <c r="I6">
        <v>0</v>
      </c>
      <c r="J6">
        <v>0</v>
      </c>
      <c r="K6">
        <v>1</v>
      </c>
      <c r="L6">
        <v>22</v>
      </c>
      <c r="N6" s="6"/>
      <c r="O6" s="4"/>
      <c r="P6" s="4"/>
      <c r="Q6" s="4"/>
      <c r="R6" s="4"/>
      <c r="S6" s="4"/>
    </row>
    <row r="7" spans="1:19" x14ac:dyDescent="0.35">
      <c r="A7">
        <v>103</v>
      </c>
      <c r="B7" s="1" t="s">
        <v>37</v>
      </c>
      <c r="C7" s="3">
        <v>3</v>
      </c>
      <c r="D7" t="str">
        <f>_xlfn.SWITCH(表1_4[[#This Row],[color]],1,"♥",2,"♦",3,"♠",4,"♣")</f>
        <v>♠</v>
      </c>
      <c r="E7">
        <v>12</v>
      </c>
      <c r="F7" s="3">
        <v>3</v>
      </c>
      <c r="G7" t="str">
        <f>_xlfn.SWITCH(表1_4[[#This Row],[type]],1,"基本",2,"锦囊",3,"装备")</f>
        <v>装备</v>
      </c>
      <c r="H7">
        <v>1</v>
      </c>
      <c r="I7">
        <v>3</v>
      </c>
      <c r="J7">
        <v>0</v>
      </c>
      <c r="K7">
        <v>0</v>
      </c>
      <c r="L7">
        <v>27</v>
      </c>
      <c r="N7" s="6"/>
      <c r="O7" s="4"/>
      <c r="P7" s="4"/>
      <c r="Q7" s="4"/>
      <c r="R7" s="4"/>
      <c r="S7" s="4"/>
    </row>
    <row r="8" spans="1:19" x14ac:dyDescent="0.35">
      <c r="A8">
        <v>29</v>
      </c>
      <c r="B8" s="1" t="s">
        <v>19</v>
      </c>
      <c r="C8" s="3">
        <v>1</v>
      </c>
      <c r="D8" s="2" t="str">
        <f>_xlfn.SWITCH(表1_4[[#This Row],[color]],1,"♥",2,"♦",3,"♠",4,"♣")</f>
        <v>♥</v>
      </c>
      <c r="E8">
        <v>3</v>
      </c>
      <c r="F8" s="3">
        <v>2</v>
      </c>
      <c r="G8" t="str">
        <f>_xlfn.SWITCH(表1_4[[#This Row],[type]],1,"基本",2,"锦囊",3,"装备")</f>
        <v>锦囊</v>
      </c>
      <c r="H8">
        <v>0</v>
      </c>
      <c r="I8">
        <v>0</v>
      </c>
      <c r="J8">
        <v>0</v>
      </c>
      <c r="K8">
        <v>0</v>
      </c>
      <c r="L8">
        <v>6</v>
      </c>
      <c r="M8" s="5"/>
      <c r="N8" s="6" t="s">
        <v>56</v>
      </c>
      <c r="O8" s="4" t="s">
        <v>55</v>
      </c>
      <c r="P8" s="4"/>
      <c r="Q8" s="4"/>
      <c r="R8" s="4"/>
      <c r="S8" s="4"/>
    </row>
    <row r="9" spans="1:19" x14ac:dyDescent="0.35">
      <c r="A9">
        <v>30</v>
      </c>
      <c r="B9" s="1" t="s">
        <v>19</v>
      </c>
      <c r="C9" s="3">
        <v>1</v>
      </c>
      <c r="D9" s="2" t="str">
        <f>_xlfn.SWITCH(表1_4[[#This Row],[color]],1,"♥",2,"♦",3,"♠",4,"♣")</f>
        <v>♥</v>
      </c>
      <c r="E9">
        <v>4</v>
      </c>
      <c r="F9" s="3">
        <v>2</v>
      </c>
      <c r="G9" t="str">
        <f>_xlfn.SWITCH(表1_4[[#This Row],[type]],1,"基本",2,"锦囊",3,"装备")</f>
        <v>锦囊</v>
      </c>
      <c r="H9">
        <v>0</v>
      </c>
      <c r="I9">
        <v>0</v>
      </c>
      <c r="J9">
        <v>0</v>
      </c>
      <c r="K9">
        <v>0</v>
      </c>
      <c r="L9">
        <v>6</v>
      </c>
      <c r="M9" s="5"/>
      <c r="N9" s="6" t="s">
        <v>56</v>
      </c>
      <c r="O9" s="4" t="s">
        <v>55</v>
      </c>
      <c r="P9" s="4"/>
      <c r="Q9" s="4"/>
      <c r="R9" s="4"/>
      <c r="S9" s="4"/>
    </row>
    <row r="10" spans="1:19" x14ac:dyDescent="0.35">
      <c r="A10">
        <v>33</v>
      </c>
      <c r="B10" s="1" t="s">
        <v>22</v>
      </c>
      <c r="C10" s="3">
        <v>1</v>
      </c>
      <c r="D10" s="2" t="str">
        <f>_xlfn.SWITCH(表1_4[[#This Row],[color]],1,"♥",2,"♦",3,"♠",4,"♣")</f>
        <v>♥</v>
      </c>
      <c r="E10">
        <v>7</v>
      </c>
      <c r="F10" s="3">
        <v>2</v>
      </c>
      <c r="G10" t="str">
        <f>_xlfn.SWITCH(表1_4[[#This Row],[type]],1,"基本",2,"锦囊",3,"装备")</f>
        <v>锦囊</v>
      </c>
      <c r="H10">
        <v>0</v>
      </c>
      <c r="I10">
        <v>0</v>
      </c>
      <c r="J10">
        <v>0</v>
      </c>
      <c r="K10">
        <v>0</v>
      </c>
      <c r="L10">
        <v>7</v>
      </c>
      <c r="M10" s="5"/>
      <c r="N10" s="6" t="s">
        <v>56</v>
      </c>
      <c r="O10" s="4" t="s">
        <v>55</v>
      </c>
      <c r="P10" s="5" t="s">
        <v>54</v>
      </c>
      <c r="Q10" s="4"/>
      <c r="R10" s="4"/>
      <c r="S10" s="4"/>
    </row>
    <row r="11" spans="1:19" x14ac:dyDescent="0.35">
      <c r="A11">
        <v>34</v>
      </c>
      <c r="B11" s="1" t="s">
        <v>22</v>
      </c>
      <c r="C11" s="3">
        <v>1</v>
      </c>
      <c r="D11" s="2" t="str">
        <f>_xlfn.SWITCH(表1_4[[#This Row],[color]],1,"♥",2,"♦",3,"♠",4,"♣")</f>
        <v>♥</v>
      </c>
      <c r="E11">
        <v>8</v>
      </c>
      <c r="F11" s="3">
        <v>2</v>
      </c>
      <c r="G11" t="str">
        <f>_xlfn.SWITCH(表1_4[[#This Row],[type]],1,"基本",2,"锦囊",3,"装备")</f>
        <v>锦囊</v>
      </c>
      <c r="H11">
        <v>0</v>
      </c>
      <c r="I11">
        <v>0</v>
      </c>
      <c r="J11">
        <v>0</v>
      </c>
      <c r="K11">
        <v>0</v>
      </c>
      <c r="L11">
        <v>7</v>
      </c>
      <c r="M11" s="5"/>
      <c r="N11" s="6" t="s">
        <v>56</v>
      </c>
      <c r="O11" s="4" t="s">
        <v>55</v>
      </c>
      <c r="P11" s="5" t="s">
        <v>54</v>
      </c>
      <c r="Q11" s="4"/>
      <c r="R11" s="4"/>
      <c r="S11" s="4"/>
    </row>
    <row r="12" spans="1:19" x14ac:dyDescent="0.35">
      <c r="A12">
        <v>35</v>
      </c>
      <c r="B12" s="1" t="s">
        <v>22</v>
      </c>
      <c r="C12" s="3">
        <v>1</v>
      </c>
      <c r="D12" s="2" t="str">
        <f>_xlfn.SWITCH(表1_4[[#This Row],[color]],1,"♥",2,"♦",3,"♠",4,"♣")</f>
        <v>♥</v>
      </c>
      <c r="E12">
        <v>9</v>
      </c>
      <c r="F12" s="3">
        <v>2</v>
      </c>
      <c r="G12" t="str">
        <f>_xlfn.SWITCH(表1_4[[#This Row],[type]],1,"基本",2,"锦囊",3,"装备")</f>
        <v>锦囊</v>
      </c>
      <c r="H12">
        <v>0</v>
      </c>
      <c r="I12">
        <v>0</v>
      </c>
      <c r="J12">
        <v>0</v>
      </c>
      <c r="K12">
        <v>0</v>
      </c>
      <c r="L12">
        <v>7</v>
      </c>
      <c r="M12" s="5"/>
      <c r="N12" s="6" t="s">
        <v>56</v>
      </c>
      <c r="O12" s="4" t="s">
        <v>55</v>
      </c>
      <c r="P12" s="5" t="s">
        <v>54</v>
      </c>
      <c r="Q12" s="4"/>
      <c r="R12" s="4"/>
      <c r="S12" s="4"/>
    </row>
    <row r="13" spans="1:19" x14ac:dyDescent="0.35">
      <c r="A13">
        <v>37</v>
      </c>
      <c r="B13" s="1" t="s">
        <v>22</v>
      </c>
      <c r="C13" s="3">
        <v>1</v>
      </c>
      <c r="D13" s="2" t="str">
        <f>_xlfn.SWITCH(表1_4[[#This Row],[color]],1,"♥",2,"♦",3,"♠",4,"♣")</f>
        <v>♥</v>
      </c>
      <c r="E13">
        <v>11</v>
      </c>
      <c r="F13" s="3">
        <v>2</v>
      </c>
      <c r="G13" t="str">
        <f>_xlfn.SWITCH(表1_4[[#This Row],[type]],1,"基本",2,"锦囊",3,"装备")</f>
        <v>锦囊</v>
      </c>
      <c r="H13">
        <v>0</v>
      </c>
      <c r="I13">
        <v>0</v>
      </c>
      <c r="J13">
        <v>0</v>
      </c>
      <c r="K13">
        <v>0</v>
      </c>
      <c r="L13">
        <v>7</v>
      </c>
      <c r="M13" s="5"/>
      <c r="N13" s="6" t="s">
        <v>56</v>
      </c>
      <c r="O13" s="4" t="s">
        <v>55</v>
      </c>
      <c r="P13" s="5" t="s">
        <v>54</v>
      </c>
      <c r="Q13" s="4"/>
      <c r="R13" s="4"/>
      <c r="S13" s="4"/>
    </row>
    <row r="14" spans="1:19" x14ac:dyDescent="0.35">
      <c r="A14">
        <v>64</v>
      </c>
      <c r="B14" s="1" t="s">
        <v>27</v>
      </c>
      <c r="C14" s="3">
        <v>4</v>
      </c>
      <c r="D14" t="str">
        <f>_xlfn.SWITCH(表1_4[[#This Row],[color]],1,"♥",2,"♦",3,"♠",4,"♣")</f>
        <v>♣</v>
      </c>
      <c r="E14">
        <v>12</v>
      </c>
      <c r="F14" s="3">
        <v>2</v>
      </c>
      <c r="G14" t="str">
        <f>_xlfn.SWITCH(表1_4[[#This Row],[type]],1,"基本",2,"锦囊",3,"装备")</f>
        <v>锦囊</v>
      </c>
      <c r="H14">
        <v>0</v>
      </c>
      <c r="I14">
        <v>0</v>
      </c>
      <c r="J14">
        <v>0</v>
      </c>
      <c r="K14">
        <v>0</v>
      </c>
      <c r="L14">
        <v>13</v>
      </c>
      <c r="M14" s="5"/>
      <c r="N14" s="6"/>
      <c r="O14" s="4" t="s">
        <v>55</v>
      </c>
      <c r="P14" s="4"/>
      <c r="Q14" s="4"/>
      <c r="R14" s="4"/>
      <c r="S14" s="4"/>
    </row>
    <row r="15" spans="1:19" x14ac:dyDescent="0.35">
      <c r="A15">
        <v>65</v>
      </c>
      <c r="B15" s="1" t="s">
        <v>27</v>
      </c>
      <c r="C15" s="3">
        <v>4</v>
      </c>
      <c r="D15" t="str">
        <f>_xlfn.SWITCH(表1_4[[#This Row],[color]],1,"♥",2,"♦",3,"♠",4,"♣")</f>
        <v>♣</v>
      </c>
      <c r="E15">
        <v>13</v>
      </c>
      <c r="F15" s="3">
        <v>2</v>
      </c>
      <c r="G15" t="str">
        <f>_xlfn.SWITCH(表1_4[[#This Row],[type]],1,"基本",2,"锦囊",3,"装备")</f>
        <v>锦囊</v>
      </c>
      <c r="H15">
        <v>0</v>
      </c>
      <c r="I15">
        <v>0</v>
      </c>
      <c r="J15">
        <v>0</v>
      </c>
      <c r="K15">
        <v>0</v>
      </c>
      <c r="L15">
        <v>13</v>
      </c>
      <c r="M15" s="5"/>
      <c r="N15" s="6"/>
      <c r="O15" s="4" t="s">
        <v>55</v>
      </c>
      <c r="P15" s="4"/>
      <c r="Q15" s="4"/>
      <c r="R15" s="4"/>
      <c r="S15" s="4"/>
    </row>
    <row r="16" spans="1:19" x14ac:dyDescent="0.35">
      <c r="A16">
        <v>102</v>
      </c>
      <c r="B16" s="1" t="s">
        <v>27</v>
      </c>
      <c r="C16" s="3">
        <v>3</v>
      </c>
      <c r="D16" t="str">
        <f>_xlfn.SWITCH(表1_4[[#This Row],[color]],1,"♥",2,"♦",3,"♠",4,"♣")</f>
        <v>♠</v>
      </c>
      <c r="E16">
        <v>11</v>
      </c>
      <c r="F16" s="3">
        <v>2</v>
      </c>
      <c r="G16" t="str">
        <f>_xlfn.SWITCH(表1_4[[#This Row],[type]],1,"基本",2,"锦囊",3,"装备")</f>
        <v>锦囊</v>
      </c>
      <c r="H16">
        <v>0</v>
      </c>
      <c r="I16">
        <v>0</v>
      </c>
      <c r="J16">
        <v>0</v>
      </c>
      <c r="K16">
        <v>0</v>
      </c>
      <c r="L16">
        <v>13</v>
      </c>
      <c r="M16" s="5"/>
      <c r="N16" s="6"/>
      <c r="O16" s="4" t="s">
        <v>55</v>
      </c>
      <c r="P16" s="4"/>
      <c r="Q16" s="4"/>
      <c r="R16" s="4"/>
      <c r="S16" s="4"/>
    </row>
    <row r="17" spans="1:19" x14ac:dyDescent="0.35">
      <c r="A17">
        <v>106</v>
      </c>
      <c r="B17" s="1" t="s">
        <v>27</v>
      </c>
      <c r="C17" s="3">
        <v>2</v>
      </c>
      <c r="D17" s="2" t="str">
        <f>_xlfn.SWITCH(表1_4[[#This Row],[color]],1,"♥",2,"♦",3,"♠",4,"♣")</f>
        <v>♦</v>
      </c>
      <c r="E17">
        <v>12</v>
      </c>
      <c r="F17" s="3">
        <v>2</v>
      </c>
      <c r="G17" t="str">
        <f>_xlfn.SWITCH(表1_4[[#This Row],[type]],1,"基本",2,"锦囊",3,"装备")</f>
        <v>锦囊</v>
      </c>
      <c r="H17">
        <v>0</v>
      </c>
      <c r="I17">
        <v>0</v>
      </c>
      <c r="J17">
        <v>0</v>
      </c>
      <c r="K17">
        <v>0</v>
      </c>
      <c r="L17">
        <v>13</v>
      </c>
      <c r="M17" s="5"/>
      <c r="N17" s="6"/>
      <c r="O17" s="4" t="s">
        <v>55</v>
      </c>
      <c r="P17" s="4"/>
      <c r="Q17" s="4"/>
      <c r="R17" s="4"/>
      <c r="S17" s="4"/>
    </row>
    <row r="18" spans="1:19" x14ac:dyDescent="0.35">
      <c r="A18">
        <v>109</v>
      </c>
      <c r="B18" s="1" t="s">
        <v>27</v>
      </c>
      <c r="C18" s="3">
        <v>1</v>
      </c>
      <c r="D18" s="2" t="str">
        <f>_xlfn.SWITCH(表1_4[[#This Row],[color]],1,"♥",2,"♦",3,"♠",4,"♣")</f>
        <v>♥</v>
      </c>
      <c r="E18">
        <v>1</v>
      </c>
      <c r="F18" s="3">
        <v>2</v>
      </c>
      <c r="G18" t="str">
        <f>_xlfn.SWITCH(表1_4[[#This Row],[type]],1,"基本",2,"锦囊",3,"装备")</f>
        <v>锦囊</v>
      </c>
      <c r="H18">
        <v>0</v>
      </c>
      <c r="I18">
        <v>0</v>
      </c>
      <c r="J18">
        <v>0</v>
      </c>
      <c r="K18">
        <v>0</v>
      </c>
      <c r="L18">
        <v>13</v>
      </c>
      <c r="M18" s="5"/>
      <c r="N18" s="6"/>
      <c r="O18" s="4" t="s">
        <v>55</v>
      </c>
      <c r="P18" s="4"/>
      <c r="Q18" s="4"/>
      <c r="R18" s="4"/>
      <c r="S18" s="4"/>
    </row>
    <row r="19" spans="1:19" x14ac:dyDescent="0.35">
      <c r="A19">
        <v>121</v>
      </c>
      <c r="B19" s="1" t="s">
        <v>27</v>
      </c>
      <c r="C19" s="3">
        <v>1</v>
      </c>
      <c r="D19" s="2" t="str">
        <f>_xlfn.SWITCH(表1_4[[#This Row],[color]],1,"♥",2,"♦",3,"♠",4,"♣")</f>
        <v>♥</v>
      </c>
      <c r="E19">
        <v>13</v>
      </c>
      <c r="F19" s="3">
        <v>2</v>
      </c>
      <c r="G19" t="str">
        <f>_xlfn.SWITCH(表1_4[[#This Row],[type]],1,"基本",2,"锦囊",3,"装备")</f>
        <v>锦囊</v>
      </c>
      <c r="H19">
        <v>0</v>
      </c>
      <c r="I19">
        <v>0</v>
      </c>
      <c r="J19">
        <v>0</v>
      </c>
      <c r="K19">
        <v>0</v>
      </c>
      <c r="L19">
        <v>13</v>
      </c>
      <c r="M19" s="5"/>
      <c r="N19" s="6"/>
      <c r="O19" s="4" t="s">
        <v>55</v>
      </c>
      <c r="P19" s="4"/>
      <c r="Q19" s="4"/>
      <c r="R19" s="4"/>
      <c r="S19" s="4"/>
    </row>
    <row r="20" spans="1:19" x14ac:dyDescent="0.35">
      <c r="A20">
        <v>147</v>
      </c>
      <c r="B20" s="1" t="s">
        <v>27</v>
      </c>
      <c r="C20" s="3">
        <v>3</v>
      </c>
      <c r="D20" t="str">
        <f>_xlfn.SWITCH(表1_4[[#This Row],[color]],1,"♥",2,"♦",3,"♠",4,"♣")</f>
        <v>♠</v>
      </c>
      <c r="E20">
        <v>13</v>
      </c>
      <c r="F20" s="3">
        <v>2</v>
      </c>
      <c r="G20" t="str">
        <f>_xlfn.SWITCH(表1_4[[#This Row],[type]],1,"基本",2,"锦囊",3,"装备")</f>
        <v>锦囊</v>
      </c>
      <c r="H20">
        <v>0</v>
      </c>
      <c r="I20">
        <v>0</v>
      </c>
      <c r="J20">
        <v>0</v>
      </c>
      <c r="K20">
        <v>0</v>
      </c>
      <c r="L20">
        <v>13</v>
      </c>
      <c r="N20" s="6"/>
    </row>
    <row r="21" spans="1:19" x14ac:dyDescent="0.35">
      <c r="A21">
        <v>27</v>
      </c>
      <c r="B21" s="1" t="s">
        <v>18</v>
      </c>
      <c r="C21" s="3">
        <v>1</v>
      </c>
      <c r="D21" s="2" t="str">
        <f>_xlfn.SWITCH(表1_4[[#This Row],[color]],1,"♥",2,"♦",3,"♠",4,"♣")</f>
        <v>♥</v>
      </c>
      <c r="E21">
        <v>1</v>
      </c>
      <c r="F21" s="3">
        <v>2</v>
      </c>
      <c r="G21" t="str">
        <f>_xlfn.SWITCH(表1_4[[#This Row],[type]],1,"基本",2,"锦囊",3,"装备")</f>
        <v>锦囊</v>
      </c>
      <c r="H21">
        <v>0</v>
      </c>
      <c r="I21">
        <v>0</v>
      </c>
      <c r="J21">
        <v>0</v>
      </c>
      <c r="K21">
        <v>0</v>
      </c>
      <c r="L21">
        <v>10</v>
      </c>
      <c r="M21" s="5" t="s">
        <v>59</v>
      </c>
      <c r="N21" s="6"/>
      <c r="O21" s="4" t="s">
        <v>55</v>
      </c>
      <c r="P21" s="5" t="s">
        <v>54</v>
      </c>
      <c r="Q21" s="4"/>
      <c r="R21" s="4"/>
      <c r="S21" s="4"/>
    </row>
    <row r="22" spans="1:19" x14ac:dyDescent="0.35">
      <c r="A22">
        <v>145</v>
      </c>
      <c r="B22" s="1" t="s">
        <v>48</v>
      </c>
      <c r="C22" s="3">
        <v>3</v>
      </c>
      <c r="D22" t="str">
        <f>_xlfn.SWITCH(表1_4[[#This Row],[color]],1,"♥",2,"♦",3,"♠",4,"♣")</f>
        <v>♠</v>
      </c>
      <c r="E22">
        <v>11</v>
      </c>
      <c r="F22" s="3">
        <v>2</v>
      </c>
      <c r="G22" t="str">
        <f>_xlfn.SWITCH(表1_4[[#This Row],[type]],1,"基本",2,"锦囊",3,"装备")</f>
        <v>锦囊</v>
      </c>
      <c r="H22">
        <v>0</v>
      </c>
      <c r="I22">
        <v>0</v>
      </c>
      <c r="J22">
        <v>0</v>
      </c>
      <c r="K22">
        <v>0</v>
      </c>
      <c r="L22">
        <v>85</v>
      </c>
      <c r="N22" s="6" t="s">
        <v>56</v>
      </c>
    </row>
    <row r="23" spans="1:19" x14ac:dyDescent="0.35">
      <c r="A23">
        <v>146</v>
      </c>
      <c r="B23" s="1" t="s">
        <v>48</v>
      </c>
      <c r="C23" s="3">
        <v>3</v>
      </c>
      <c r="D23" t="str">
        <f>_xlfn.SWITCH(表1_4[[#This Row],[color]],1,"♥",2,"♦",3,"♠",4,"♣")</f>
        <v>♠</v>
      </c>
      <c r="E23">
        <v>12</v>
      </c>
      <c r="F23" s="3">
        <v>2</v>
      </c>
      <c r="G23" t="str">
        <f>_xlfn.SWITCH(表1_4[[#This Row],[type]],1,"基本",2,"锦囊",3,"装备")</f>
        <v>锦囊</v>
      </c>
      <c r="H23">
        <v>0</v>
      </c>
      <c r="I23">
        <v>0</v>
      </c>
      <c r="J23">
        <v>0</v>
      </c>
      <c r="K23">
        <v>0</v>
      </c>
      <c r="L23">
        <v>85</v>
      </c>
      <c r="N23" s="6" t="s">
        <v>56</v>
      </c>
    </row>
    <row r="24" spans="1:19" x14ac:dyDescent="0.35">
      <c r="A24">
        <v>157</v>
      </c>
      <c r="B24" s="1" t="s">
        <v>48</v>
      </c>
      <c r="C24" s="3">
        <v>4</v>
      </c>
      <c r="D24" t="str">
        <f>_xlfn.SWITCH(表1_4[[#This Row],[color]],1,"♥",2,"♦",3,"♠",4,"♣")</f>
        <v>♣</v>
      </c>
      <c r="E24">
        <v>10</v>
      </c>
      <c r="F24" s="3">
        <v>2</v>
      </c>
      <c r="G24" t="str">
        <f>_xlfn.SWITCH(表1_4[[#This Row],[type]],1,"基本",2,"锦囊",3,"装备")</f>
        <v>锦囊</v>
      </c>
      <c r="H24">
        <v>0</v>
      </c>
      <c r="I24">
        <v>0</v>
      </c>
      <c r="J24">
        <v>0</v>
      </c>
      <c r="K24">
        <v>0</v>
      </c>
      <c r="L24">
        <v>85</v>
      </c>
      <c r="N24" s="6" t="s">
        <v>56</v>
      </c>
    </row>
    <row r="25" spans="1:19" x14ac:dyDescent="0.35">
      <c r="A25">
        <v>158</v>
      </c>
      <c r="B25" s="1" t="s">
        <v>48</v>
      </c>
      <c r="C25" s="3">
        <v>4</v>
      </c>
      <c r="D25" t="str">
        <f>_xlfn.SWITCH(表1_4[[#This Row],[color]],1,"♥",2,"♦",3,"♠",4,"♣")</f>
        <v>♣</v>
      </c>
      <c r="E25">
        <v>11</v>
      </c>
      <c r="F25" s="3">
        <v>2</v>
      </c>
      <c r="G25" t="str">
        <f>_xlfn.SWITCH(表1_4[[#This Row],[type]],1,"基本",2,"锦囊",3,"装备")</f>
        <v>锦囊</v>
      </c>
      <c r="H25">
        <v>0</v>
      </c>
      <c r="I25">
        <v>0</v>
      </c>
      <c r="J25">
        <v>0</v>
      </c>
      <c r="K25">
        <v>0</v>
      </c>
      <c r="L25">
        <v>85</v>
      </c>
      <c r="N25" s="6" t="s">
        <v>56</v>
      </c>
    </row>
    <row r="26" spans="1:19" x14ac:dyDescent="0.35">
      <c r="A26">
        <v>159</v>
      </c>
      <c r="B26" s="1" t="s">
        <v>48</v>
      </c>
      <c r="C26" s="3">
        <v>4</v>
      </c>
      <c r="D26" t="str">
        <f>_xlfn.SWITCH(表1_4[[#This Row],[color]],1,"♥",2,"♦",3,"♠",4,"♣")</f>
        <v>♣</v>
      </c>
      <c r="E26">
        <v>12</v>
      </c>
      <c r="F26" s="3">
        <v>2</v>
      </c>
      <c r="G26" t="str">
        <f>_xlfn.SWITCH(表1_4[[#This Row],[type]],1,"基本",2,"锦囊",3,"装备")</f>
        <v>锦囊</v>
      </c>
      <c r="H26">
        <v>0</v>
      </c>
      <c r="I26">
        <v>0</v>
      </c>
      <c r="J26">
        <v>0</v>
      </c>
      <c r="K26">
        <v>0</v>
      </c>
      <c r="L26">
        <v>85</v>
      </c>
      <c r="N26" s="6" t="s">
        <v>56</v>
      </c>
    </row>
    <row r="27" spans="1:19" x14ac:dyDescent="0.35">
      <c r="A27">
        <v>160</v>
      </c>
      <c r="B27" s="1" t="s">
        <v>48</v>
      </c>
      <c r="C27" s="3">
        <v>4</v>
      </c>
      <c r="D27" t="str">
        <f>_xlfn.SWITCH(表1_4[[#This Row],[color]],1,"♥",2,"♦",3,"♠",4,"♣")</f>
        <v>♣</v>
      </c>
      <c r="E27">
        <v>13</v>
      </c>
      <c r="F27" s="3">
        <v>2</v>
      </c>
      <c r="G27" t="str">
        <f>_xlfn.SWITCH(表1_4[[#This Row],[type]],1,"基本",2,"锦囊",3,"装备")</f>
        <v>锦囊</v>
      </c>
      <c r="H27">
        <v>0</v>
      </c>
      <c r="I27">
        <v>0</v>
      </c>
      <c r="J27">
        <v>0</v>
      </c>
      <c r="K27">
        <v>0</v>
      </c>
      <c r="L27">
        <v>85</v>
      </c>
      <c r="N27" s="6" t="s">
        <v>56</v>
      </c>
    </row>
    <row r="28" spans="1:19" x14ac:dyDescent="0.35">
      <c r="A28">
        <v>136</v>
      </c>
      <c r="B28" s="1" t="s">
        <v>46</v>
      </c>
      <c r="C28" s="3">
        <v>3</v>
      </c>
      <c r="D28" t="str">
        <f>_xlfn.SWITCH(表1_4[[#This Row],[color]],1,"♥",2,"♦",3,"♠",4,"♣")</f>
        <v>♠</v>
      </c>
      <c r="E28">
        <v>2</v>
      </c>
      <c r="F28" s="3">
        <v>3</v>
      </c>
      <c r="G28" t="str">
        <f>_xlfn.SWITCH(表1_4[[#This Row],[type]],1,"基本",2,"锦囊",3,"装备")</f>
        <v>装备</v>
      </c>
      <c r="H28">
        <v>2</v>
      </c>
      <c r="I28">
        <v>0</v>
      </c>
      <c r="J28">
        <v>0</v>
      </c>
      <c r="K28">
        <v>0</v>
      </c>
      <c r="L28">
        <v>88</v>
      </c>
      <c r="N28" s="6"/>
    </row>
    <row r="29" spans="1:19" x14ac:dyDescent="0.35">
      <c r="A29">
        <v>149</v>
      </c>
      <c r="B29" s="1" t="s">
        <v>46</v>
      </c>
      <c r="C29" s="3">
        <v>4</v>
      </c>
      <c r="D29" t="str">
        <f>_xlfn.SWITCH(表1_4[[#This Row],[color]],1,"♥",2,"♦",3,"♠",4,"♣")</f>
        <v>♣</v>
      </c>
      <c r="E29">
        <v>2</v>
      </c>
      <c r="F29" s="3">
        <v>3</v>
      </c>
      <c r="G29" t="str">
        <f>_xlfn.SWITCH(表1_4[[#This Row],[type]],1,"基本",2,"锦囊",3,"装备")</f>
        <v>装备</v>
      </c>
      <c r="H29">
        <v>2</v>
      </c>
      <c r="I29">
        <v>0</v>
      </c>
      <c r="J29">
        <v>0</v>
      </c>
      <c r="K29">
        <v>0</v>
      </c>
      <c r="L29">
        <v>88</v>
      </c>
      <c r="N29" s="6"/>
    </row>
    <row r="30" spans="1:19" x14ac:dyDescent="0.35">
      <c r="A30">
        <v>40</v>
      </c>
      <c r="B30" s="1" t="s">
        <v>24</v>
      </c>
      <c r="C30" s="3">
        <v>1</v>
      </c>
      <c r="D30" s="2" t="str">
        <f>_xlfn.SWITCH(表1_4[[#This Row],[color]],1,"♥",2,"♦",3,"♠",4,"♣")</f>
        <v>♥</v>
      </c>
      <c r="E30">
        <v>1</v>
      </c>
      <c r="F30" s="3">
        <v>2</v>
      </c>
      <c r="G30" t="str">
        <f>_xlfn.SWITCH(表1_4[[#This Row],[type]],1,"基本",2,"锦囊",3,"装备")</f>
        <v>锦囊</v>
      </c>
      <c r="H30">
        <v>0</v>
      </c>
      <c r="I30">
        <v>0</v>
      </c>
      <c r="J30">
        <v>0</v>
      </c>
      <c r="K30">
        <v>0</v>
      </c>
      <c r="L30">
        <v>12</v>
      </c>
      <c r="M30" s="5"/>
      <c r="N30" s="6"/>
      <c r="O30" s="4" t="s">
        <v>55</v>
      </c>
      <c r="P30" s="4"/>
      <c r="Q30" s="4"/>
      <c r="R30" s="4"/>
      <c r="S30" s="4"/>
    </row>
    <row r="31" spans="1:19" x14ac:dyDescent="0.35">
      <c r="A31">
        <v>25</v>
      </c>
      <c r="B31" s="1" t="s">
        <v>17</v>
      </c>
      <c r="C31" s="3">
        <v>2</v>
      </c>
      <c r="D31" s="2" t="str">
        <f>_xlfn.SWITCH(表1_4[[#This Row],[color]],1,"♥",2,"♦",3,"♠",4,"♣")</f>
        <v>♦</v>
      </c>
      <c r="E31">
        <v>12</v>
      </c>
      <c r="F31" s="3">
        <v>1</v>
      </c>
      <c r="G31" t="str">
        <f>_xlfn.SWITCH(表1_4[[#This Row],[type]],1,"基本",2,"锦囊",3,"装备")</f>
        <v>基本</v>
      </c>
      <c r="H31">
        <v>0</v>
      </c>
      <c r="I31">
        <v>0</v>
      </c>
      <c r="J31">
        <v>0</v>
      </c>
      <c r="K31">
        <v>0</v>
      </c>
      <c r="L31">
        <v>3</v>
      </c>
      <c r="N31" s="6"/>
      <c r="O31" s="4"/>
      <c r="P31" s="4"/>
      <c r="Q31" s="4"/>
      <c r="R31" s="4" t="s">
        <v>17</v>
      </c>
      <c r="S31" s="4"/>
    </row>
    <row r="32" spans="1:19" x14ac:dyDescent="0.35">
      <c r="A32">
        <v>42</v>
      </c>
      <c r="B32" s="1" t="s">
        <v>17</v>
      </c>
      <c r="C32" s="3">
        <v>1</v>
      </c>
      <c r="D32" s="2" t="str">
        <f>_xlfn.SWITCH(表1_4[[#This Row],[color]],1,"♥",2,"♦",3,"♠",4,"♣")</f>
        <v>♥</v>
      </c>
      <c r="E32">
        <v>3</v>
      </c>
      <c r="F32" s="3">
        <v>1</v>
      </c>
      <c r="G32" t="str">
        <f>_xlfn.SWITCH(表1_4[[#This Row],[type]],1,"基本",2,"锦囊",3,"装备")</f>
        <v>基本</v>
      </c>
      <c r="H32">
        <v>0</v>
      </c>
      <c r="I32">
        <v>0</v>
      </c>
      <c r="J32">
        <v>0</v>
      </c>
      <c r="K32">
        <v>0</v>
      </c>
      <c r="L32">
        <v>3</v>
      </c>
      <c r="N32" s="6"/>
      <c r="O32" s="4"/>
      <c r="P32" s="4"/>
      <c r="Q32" s="4"/>
      <c r="R32" s="4" t="s">
        <v>17</v>
      </c>
      <c r="S32" s="4"/>
    </row>
    <row r="33" spans="1:19" x14ac:dyDescent="0.35">
      <c r="A33">
        <v>43</v>
      </c>
      <c r="B33" s="1" t="s">
        <v>17</v>
      </c>
      <c r="C33" s="3">
        <v>1</v>
      </c>
      <c r="D33" s="2" t="str">
        <f>_xlfn.SWITCH(表1_4[[#This Row],[color]],1,"♥",2,"♦",3,"♠",4,"♣")</f>
        <v>♥</v>
      </c>
      <c r="E33">
        <v>4</v>
      </c>
      <c r="F33" s="3">
        <v>1</v>
      </c>
      <c r="G33" t="str">
        <f>_xlfn.SWITCH(表1_4[[#This Row],[type]],1,"基本",2,"锦囊",3,"装备")</f>
        <v>基本</v>
      </c>
      <c r="H33">
        <v>0</v>
      </c>
      <c r="I33">
        <v>0</v>
      </c>
      <c r="J33">
        <v>0</v>
      </c>
      <c r="K33">
        <v>0</v>
      </c>
      <c r="L33">
        <v>3</v>
      </c>
      <c r="N33" s="6"/>
      <c r="O33" s="4"/>
      <c r="P33" s="4"/>
      <c r="Q33" s="4"/>
      <c r="R33" s="4" t="s">
        <v>17</v>
      </c>
      <c r="S33" s="4"/>
    </row>
    <row r="34" spans="1:19" x14ac:dyDescent="0.35">
      <c r="A34">
        <v>45</v>
      </c>
      <c r="B34" s="1" t="s">
        <v>17</v>
      </c>
      <c r="C34" s="3">
        <v>1</v>
      </c>
      <c r="D34" s="2" t="str">
        <f>_xlfn.SWITCH(表1_4[[#This Row],[color]],1,"♥",2,"♦",3,"♠",4,"♣")</f>
        <v>♥</v>
      </c>
      <c r="E34">
        <v>6</v>
      </c>
      <c r="F34" s="3">
        <v>1</v>
      </c>
      <c r="G34" t="str">
        <f>_xlfn.SWITCH(表1_4[[#This Row],[type]],1,"基本",2,"锦囊",3,"装备")</f>
        <v>基本</v>
      </c>
      <c r="H34">
        <v>0</v>
      </c>
      <c r="I34">
        <v>0</v>
      </c>
      <c r="J34">
        <v>0</v>
      </c>
      <c r="K34">
        <v>0</v>
      </c>
      <c r="L34">
        <v>3</v>
      </c>
      <c r="N34" s="6"/>
      <c r="O34" s="4"/>
      <c r="P34" s="4"/>
      <c r="Q34" s="4"/>
      <c r="R34" s="4" t="s">
        <v>17</v>
      </c>
      <c r="S34" s="4"/>
    </row>
    <row r="35" spans="1:19" x14ac:dyDescent="0.35">
      <c r="A35">
        <v>46</v>
      </c>
      <c r="B35" s="1" t="s">
        <v>17</v>
      </c>
      <c r="C35" s="3">
        <v>1</v>
      </c>
      <c r="D35" s="2" t="str">
        <f>_xlfn.SWITCH(表1_4[[#This Row],[color]],1,"♥",2,"♦",3,"♠",4,"♣")</f>
        <v>♥</v>
      </c>
      <c r="E35">
        <v>7</v>
      </c>
      <c r="F35" s="3">
        <v>1</v>
      </c>
      <c r="G35" t="str">
        <f>_xlfn.SWITCH(表1_4[[#This Row],[type]],1,"基本",2,"锦囊",3,"装备")</f>
        <v>基本</v>
      </c>
      <c r="H35">
        <v>0</v>
      </c>
      <c r="I35">
        <v>0</v>
      </c>
      <c r="J35">
        <v>0</v>
      </c>
      <c r="K35">
        <v>0</v>
      </c>
      <c r="L35">
        <v>3</v>
      </c>
      <c r="N35" s="6"/>
      <c r="O35" s="4"/>
      <c r="P35" s="4"/>
      <c r="Q35" s="4"/>
      <c r="R35" s="4" t="s">
        <v>17</v>
      </c>
      <c r="S35" s="4"/>
    </row>
    <row r="36" spans="1:19" x14ac:dyDescent="0.35">
      <c r="A36">
        <v>47</v>
      </c>
      <c r="B36" s="1" t="s">
        <v>17</v>
      </c>
      <c r="C36" s="3">
        <v>1</v>
      </c>
      <c r="D36" s="2" t="str">
        <f>_xlfn.SWITCH(表1_4[[#This Row],[color]],1,"♥",2,"♦",3,"♠",4,"♣")</f>
        <v>♥</v>
      </c>
      <c r="E36">
        <v>8</v>
      </c>
      <c r="F36" s="3">
        <v>1</v>
      </c>
      <c r="G36" t="str">
        <f>_xlfn.SWITCH(表1_4[[#This Row],[type]],1,"基本",2,"锦囊",3,"装备")</f>
        <v>基本</v>
      </c>
      <c r="H36">
        <v>0</v>
      </c>
      <c r="I36">
        <v>0</v>
      </c>
      <c r="J36">
        <v>0</v>
      </c>
      <c r="K36">
        <v>0</v>
      </c>
      <c r="L36">
        <v>3</v>
      </c>
      <c r="N36" s="6"/>
      <c r="O36" s="4"/>
      <c r="P36" s="4"/>
      <c r="Q36" s="4"/>
      <c r="R36" s="4" t="s">
        <v>17</v>
      </c>
      <c r="S36" s="4"/>
    </row>
    <row r="37" spans="1:19" x14ac:dyDescent="0.35">
      <c r="A37">
        <v>48</v>
      </c>
      <c r="B37" s="1" t="s">
        <v>17</v>
      </c>
      <c r="C37" s="3">
        <v>1</v>
      </c>
      <c r="D37" s="2" t="str">
        <f>_xlfn.SWITCH(表1_4[[#This Row],[color]],1,"♥",2,"♦",3,"♠",4,"♣")</f>
        <v>♥</v>
      </c>
      <c r="E37">
        <v>9</v>
      </c>
      <c r="F37" s="3">
        <v>1</v>
      </c>
      <c r="G37" t="str">
        <f>_xlfn.SWITCH(表1_4[[#This Row],[type]],1,"基本",2,"锦囊",3,"装备")</f>
        <v>基本</v>
      </c>
      <c r="H37">
        <v>0</v>
      </c>
      <c r="I37">
        <v>0</v>
      </c>
      <c r="J37">
        <v>0</v>
      </c>
      <c r="K37">
        <v>0</v>
      </c>
      <c r="L37">
        <v>3</v>
      </c>
      <c r="N37" s="6"/>
      <c r="O37" s="4"/>
      <c r="P37" s="4"/>
      <c r="Q37" s="4"/>
      <c r="R37" s="4" t="s">
        <v>17</v>
      </c>
      <c r="S37" s="4"/>
    </row>
    <row r="38" spans="1:19" x14ac:dyDescent="0.35">
      <c r="A38">
        <v>51</v>
      </c>
      <c r="B38" s="1" t="s">
        <v>17</v>
      </c>
      <c r="C38" s="3">
        <v>1</v>
      </c>
      <c r="D38" s="2" t="str">
        <f>_xlfn.SWITCH(表1_4[[#This Row],[color]],1,"♥",2,"♦",3,"♠",4,"♣")</f>
        <v>♥</v>
      </c>
      <c r="E38">
        <v>12</v>
      </c>
      <c r="F38" s="3">
        <v>1</v>
      </c>
      <c r="G38" t="str">
        <f>_xlfn.SWITCH(表1_4[[#This Row],[type]],1,"基本",2,"锦囊",3,"装备")</f>
        <v>基本</v>
      </c>
      <c r="H38">
        <v>0</v>
      </c>
      <c r="I38">
        <v>0</v>
      </c>
      <c r="J38">
        <v>0</v>
      </c>
      <c r="K38">
        <v>0</v>
      </c>
      <c r="L38">
        <v>3</v>
      </c>
      <c r="N38" s="6"/>
      <c r="O38" s="4"/>
      <c r="P38" s="4"/>
      <c r="Q38" s="4"/>
      <c r="R38" s="4" t="s">
        <v>17</v>
      </c>
      <c r="S38" s="4"/>
    </row>
    <row r="39" spans="1:19" x14ac:dyDescent="0.35">
      <c r="A39">
        <v>113</v>
      </c>
      <c r="B39" s="1" t="s">
        <v>17</v>
      </c>
      <c r="C39" s="3">
        <v>1</v>
      </c>
      <c r="D39" s="2" t="str">
        <f>_xlfn.SWITCH(表1_4[[#This Row],[color]],1,"♥",2,"♦",3,"♠",4,"♣")</f>
        <v>♥</v>
      </c>
      <c r="E39">
        <v>5</v>
      </c>
      <c r="F39" s="3">
        <v>1</v>
      </c>
      <c r="G39" t="str">
        <f>_xlfn.SWITCH(表1_4[[#This Row],[type]],1,"基本",2,"锦囊",3,"装备")</f>
        <v>基本</v>
      </c>
      <c r="H39">
        <v>0</v>
      </c>
      <c r="I39">
        <v>0</v>
      </c>
      <c r="J39">
        <v>0</v>
      </c>
      <c r="K39">
        <v>0</v>
      </c>
      <c r="L39">
        <v>3</v>
      </c>
      <c r="N39" s="6"/>
      <c r="O39" s="4"/>
      <c r="P39" s="4"/>
      <c r="Q39" s="4"/>
      <c r="R39" s="4" t="s">
        <v>17</v>
      </c>
      <c r="S39" s="4"/>
    </row>
    <row r="40" spans="1:19" x14ac:dyDescent="0.35">
      <c r="A40">
        <v>114</v>
      </c>
      <c r="B40" s="1" t="s">
        <v>17</v>
      </c>
      <c r="C40" s="3">
        <v>1</v>
      </c>
      <c r="D40" s="2" t="str">
        <f>_xlfn.SWITCH(表1_4[[#This Row],[color]],1,"♥",2,"♦",3,"♠",4,"♣")</f>
        <v>♥</v>
      </c>
      <c r="E40">
        <v>6</v>
      </c>
      <c r="F40" s="3">
        <v>1</v>
      </c>
      <c r="G40" t="str">
        <f>_xlfn.SWITCH(表1_4[[#This Row],[type]],1,"基本",2,"锦囊",3,"装备")</f>
        <v>基本</v>
      </c>
      <c r="H40">
        <v>0</v>
      </c>
      <c r="I40">
        <v>0</v>
      </c>
      <c r="J40">
        <v>0</v>
      </c>
      <c r="K40">
        <v>0</v>
      </c>
      <c r="L40">
        <v>3</v>
      </c>
      <c r="N40" s="6"/>
      <c r="O40" s="4"/>
      <c r="P40" s="4"/>
      <c r="Q40" s="4"/>
      <c r="R40" s="4" t="s">
        <v>17</v>
      </c>
      <c r="S40" s="4"/>
    </row>
    <row r="41" spans="1:19" x14ac:dyDescent="0.35">
      <c r="A41">
        <v>123</v>
      </c>
      <c r="B41" s="1" t="s">
        <v>17</v>
      </c>
      <c r="C41" s="3">
        <v>2</v>
      </c>
      <c r="D41" s="2" t="str">
        <f>_xlfn.SWITCH(表1_4[[#This Row],[color]],1,"♥",2,"♦",3,"♠",4,"♣")</f>
        <v>♦</v>
      </c>
      <c r="E41">
        <v>2</v>
      </c>
      <c r="F41" s="3">
        <v>1</v>
      </c>
      <c r="G41" t="str">
        <f>_xlfn.SWITCH(表1_4[[#This Row],[type]],1,"基本",2,"锦囊",3,"装备")</f>
        <v>基本</v>
      </c>
      <c r="H41">
        <v>0</v>
      </c>
      <c r="I41">
        <v>0</v>
      </c>
      <c r="J41">
        <v>0</v>
      </c>
      <c r="K41">
        <v>0</v>
      </c>
      <c r="L41">
        <v>3</v>
      </c>
      <c r="N41" s="6"/>
      <c r="O41" s="4"/>
      <c r="P41" s="4"/>
      <c r="Q41" s="4"/>
      <c r="R41" s="4" t="s">
        <v>17</v>
      </c>
      <c r="S41" s="4"/>
    </row>
    <row r="42" spans="1:19" x14ac:dyDescent="0.35">
      <c r="A42">
        <v>124</v>
      </c>
      <c r="B42" s="1" t="s">
        <v>17</v>
      </c>
      <c r="C42" s="3">
        <v>2</v>
      </c>
      <c r="D42" s="2" t="str">
        <f>_xlfn.SWITCH(表1_4[[#This Row],[color]],1,"♥",2,"♦",3,"♠",4,"♣")</f>
        <v>♦</v>
      </c>
      <c r="E42">
        <v>3</v>
      </c>
      <c r="F42" s="3">
        <v>1</v>
      </c>
      <c r="G42" t="str">
        <f>_xlfn.SWITCH(表1_4[[#This Row],[type]],1,"基本",2,"锦囊",3,"装备")</f>
        <v>基本</v>
      </c>
      <c r="H42">
        <v>0</v>
      </c>
      <c r="I42">
        <v>0</v>
      </c>
      <c r="J42">
        <v>0</v>
      </c>
      <c r="K42">
        <v>0</v>
      </c>
      <c r="L42">
        <v>3</v>
      </c>
      <c r="N42" s="6"/>
      <c r="O42" s="4"/>
      <c r="P42" s="4"/>
      <c r="Q42" s="4"/>
      <c r="R42" s="4" t="s">
        <v>17</v>
      </c>
      <c r="S42" s="4"/>
    </row>
    <row r="43" spans="1:19" x14ac:dyDescent="0.35">
      <c r="A43">
        <v>3</v>
      </c>
      <c r="B43" s="1" t="s">
        <v>11</v>
      </c>
      <c r="C43" s="3">
        <v>2</v>
      </c>
      <c r="D43" s="2" t="str">
        <f>_xlfn.SWITCH(表1_4[[#This Row],[color]],1,"♥",2,"♦",3,"♠",4,"♣")</f>
        <v>♦</v>
      </c>
      <c r="E43">
        <v>3</v>
      </c>
      <c r="F43" s="3">
        <v>2</v>
      </c>
      <c r="G43" t="str">
        <f>_xlfn.SWITCH(表1_4[[#This Row],[type]],1,"基本",2,"锦囊",3,"装备")</f>
        <v>锦囊</v>
      </c>
      <c r="H43">
        <v>0</v>
      </c>
      <c r="I43">
        <v>0</v>
      </c>
      <c r="J43">
        <v>0</v>
      </c>
      <c r="K43">
        <v>0</v>
      </c>
      <c r="L43">
        <v>4</v>
      </c>
      <c r="M43" s="5"/>
      <c r="N43" s="6" t="s">
        <v>56</v>
      </c>
      <c r="O43" s="4" t="s">
        <v>55</v>
      </c>
      <c r="P43" s="5" t="s">
        <v>54</v>
      </c>
      <c r="Q43" s="4"/>
      <c r="R43" s="4"/>
      <c r="S43" s="4"/>
    </row>
    <row r="44" spans="1:19" x14ac:dyDescent="0.35">
      <c r="A44">
        <v>4</v>
      </c>
      <c r="B44" s="1" t="s">
        <v>11</v>
      </c>
      <c r="C44" s="3">
        <v>2</v>
      </c>
      <c r="D44" s="2" t="str">
        <f>_xlfn.SWITCH(表1_4[[#This Row],[color]],1,"♥",2,"♦",3,"♠",4,"♣")</f>
        <v>♦</v>
      </c>
      <c r="E44">
        <v>4</v>
      </c>
      <c r="F44" s="3">
        <v>2</v>
      </c>
      <c r="G44" t="str">
        <f>_xlfn.SWITCH(表1_4[[#This Row],[type]],1,"基本",2,"锦囊",3,"装备")</f>
        <v>锦囊</v>
      </c>
      <c r="H44">
        <v>0</v>
      </c>
      <c r="I44">
        <v>0</v>
      </c>
      <c r="J44">
        <v>0</v>
      </c>
      <c r="K44">
        <v>0</v>
      </c>
      <c r="L44">
        <v>4</v>
      </c>
      <c r="M44" s="5"/>
      <c r="N44" s="6" t="s">
        <v>56</v>
      </c>
      <c r="O44" s="4" t="s">
        <v>55</v>
      </c>
      <c r="P44" s="5" t="s">
        <v>54</v>
      </c>
      <c r="Q44" s="4"/>
      <c r="R44" s="4"/>
      <c r="S44" s="4"/>
    </row>
    <row r="45" spans="1:19" x14ac:dyDescent="0.35">
      <c r="A45">
        <v>81</v>
      </c>
      <c r="B45" s="1" t="s">
        <v>11</v>
      </c>
      <c r="C45" s="3">
        <v>3</v>
      </c>
      <c r="D45" t="str">
        <f>_xlfn.SWITCH(表1_4[[#This Row],[color]],1,"♥",2,"♦",3,"♠",4,"♣")</f>
        <v>♠</v>
      </c>
      <c r="E45">
        <v>3</v>
      </c>
      <c r="F45" s="3">
        <v>2</v>
      </c>
      <c r="G45" t="str">
        <f>_xlfn.SWITCH(表1_4[[#This Row],[type]],1,"基本",2,"锦囊",3,"装备")</f>
        <v>锦囊</v>
      </c>
      <c r="H45">
        <v>0</v>
      </c>
      <c r="I45">
        <v>0</v>
      </c>
      <c r="J45">
        <v>0</v>
      </c>
      <c r="K45">
        <v>0</v>
      </c>
      <c r="L45">
        <v>4</v>
      </c>
      <c r="M45" s="5"/>
      <c r="N45" s="6" t="s">
        <v>56</v>
      </c>
      <c r="O45" s="4" t="s">
        <v>55</v>
      </c>
      <c r="P45" s="5" t="s">
        <v>54</v>
      </c>
      <c r="Q45" s="4"/>
      <c r="R45" s="4"/>
      <c r="S45" s="4"/>
    </row>
    <row r="46" spans="1:19" x14ac:dyDescent="0.35">
      <c r="A46">
        <v>82</v>
      </c>
      <c r="B46" s="1" t="s">
        <v>11</v>
      </c>
      <c r="C46" s="3">
        <v>3</v>
      </c>
      <c r="D46" t="str">
        <f>_xlfn.SWITCH(表1_4[[#This Row],[color]],1,"♥",2,"♦",3,"♠",4,"♣")</f>
        <v>♠</v>
      </c>
      <c r="E46">
        <v>4</v>
      </c>
      <c r="F46" s="3">
        <v>2</v>
      </c>
      <c r="G46" t="str">
        <f>_xlfn.SWITCH(表1_4[[#This Row],[type]],1,"基本",2,"锦囊",3,"装备")</f>
        <v>锦囊</v>
      </c>
      <c r="H46">
        <v>0</v>
      </c>
      <c r="I46">
        <v>0</v>
      </c>
      <c r="J46">
        <v>0</v>
      </c>
      <c r="K46">
        <v>0</v>
      </c>
      <c r="L46">
        <v>4</v>
      </c>
      <c r="M46" s="5"/>
      <c r="N46" s="6" t="s">
        <v>56</v>
      </c>
      <c r="O46" s="4" t="s">
        <v>55</v>
      </c>
      <c r="P46" s="5" t="s">
        <v>54</v>
      </c>
      <c r="Q46" s="4"/>
      <c r="R46" s="4"/>
      <c r="S46" s="4"/>
    </row>
    <row r="47" spans="1:19" x14ac:dyDescent="0.35">
      <c r="A47">
        <v>89</v>
      </c>
      <c r="B47" s="1" t="s">
        <v>11</v>
      </c>
      <c r="C47" s="3">
        <v>3</v>
      </c>
      <c r="D47" t="str">
        <f>_xlfn.SWITCH(表1_4[[#This Row],[color]],1,"♥",2,"♦",3,"♠",4,"♣")</f>
        <v>♠</v>
      </c>
      <c r="E47">
        <v>11</v>
      </c>
      <c r="F47" s="3">
        <v>2</v>
      </c>
      <c r="G47" t="str">
        <f>_xlfn.SWITCH(表1_4[[#This Row],[type]],1,"基本",2,"锦囊",3,"装备")</f>
        <v>锦囊</v>
      </c>
      <c r="H47">
        <v>0</v>
      </c>
      <c r="I47">
        <v>0</v>
      </c>
      <c r="J47">
        <v>0</v>
      </c>
      <c r="K47">
        <v>0</v>
      </c>
      <c r="L47">
        <v>4</v>
      </c>
      <c r="M47" s="5"/>
      <c r="N47" s="6" t="s">
        <v>56</v>
      </c>
      <c r="O47" s="4" t="s">
        <v>55</v>
      </c>
      <c r="P47" s="5" t="s">
        <v>54</v>
      </c>
      <c r="Q47" s="4"/>
      <c r="R47" s="4"/>
      <c r="S47" s="4"/>
    </row>
    <row r="48" spans="1:19" x14ac:dyDescent="0.35">
      <c r="A48">
        <v>92</v>
      </c>
      <c r="B48" s="1" t="s">
        <v>35</v>
      </c>
      <c r="C48" s="3">
        <v>3</v>
      </c>
      <c r="D48" t="str">
        <f>_xlfn.SWITCH(表1_4[[#This Row],[color]],1,"♥",2,"♦",3,"♠",4,"♣")</f>
        <v>♠</v>
      </c>
      <c r="E48">
        <v>1</v>
      </c>
      <c r="F48" s="3">
        <v>2</v>
      </c>
      <c r="G48" t="str">
        <f>_xlfn.SWITCH(表1_4[[#This Row],[type]],1,"基本",2,"锦囊",3,"装备")</f>
        <v>锦囊</v>
      </c>
      <c r="H48">
        <v>5</v>
      </c>
      <c r="I48">
        <v>0</v>
      </c>
      <c r="J48">
        <v>0</v>
      </c>
      <c r="K48">
        <v>0</v>
      </c>
      <c r="L48">
        <v>11</v>
      </c>
      <c r="M48" s="5"/>
      <c r="N48" s="6"/>
      <c r="O48" s="4" t="s">
        <v>55</v>
      </c>
      <c r="P48" s="4"/>
      <c r="Q48" s="4"/>
      <c r="R48" s="4"/>
      <c r="S48" s="4"/>
    </row>
    <row r="49" spans="1:19" x14ac:dyDescent="0.35">
      <c r="A49">
        <v>105</v>
      </c>
      <c r="B49" s="1" t="s">
        <v>35</v>
      </c>
      <c r="C49" s="3">
        <v>1</v>
      </c>
      <c r="D49" s="2" t="str">
        <f>_xlfn.SWITCH(表1_4[[#This Row],[color]],1,"♥",2,"♦",3,"♠",4,"♣")</f>
        <v>♥</v>
      </c>
      <c r="E49">
        <v>12</v>
      </c>
      <c r="F49" s="3">
        <v>2</v>
      </c>
      <c r="G49" t="str">
        <f>_xlfn.SWITCH(表1_4[[#This Row],[type]],1,"基本",2,"锦囊",3,"装备")</f>
        <v>锦囊</v>
      </c>
      <c r="H49">
        <v>5</v>
      </c>
      <c r="I49">
        <v>0</v>
      </c>
      <c r="J49">
        <v>0</v>
      </c>
      <c r="K49">
        <v>0</v>
      </c>
      <c r="L49">
        <v>11</v>
      </c>
      <c r="M49" s="5"/>
      <c r="N49" s="6"/>
      <c r="O49" s="4" t="s">
        <v>55</v>
      </c>
      <c r="P49" s="4"/>
      <c r="Q49" s="4"/>
      <c r="R49" s="4"/>
      <c r="S49" s="4"/>
    </row>
    <row r="50" spans="1:19" x14ac:dyDescent="0.35">
      <c r="A50">
        <v>2</v>
      </c>
      <c r="B50" s="1" t="s">
        <v>10</v>
      </c>
      <c r="C50" s="3">
        <v>2</v>
      </c>
      <c r="D50" s="2" t="str">
        <f>_xlfn.SWITCH(表1_4[[#This Row],[color]],1,"♥",2,"♦",3,"♠",4,"♣")</f>
        <v>♦</v>
      </c>
      <c r="E50">
        <v>2</v>
      </c>
      <c r="F50" s="3">
        <v>1</v>
      </c>
      <c r="G50" t="str">
        <f>_xlfn.SWITCH(表1_4[[#This Row],[type]],1,"基本",2,"锦囊",3,"装备")</f>
        <v>基本</v>
      </c>
      <c r="H50">
        <v>0</v>
      </c>
      <c r="I50">
        <v>0</v>
      </c>
      <c r="J50">
        <v>0</v>
      </c>
      <c r="K50">
        <v>0</v>
      </c>
      <c r="L50">
        <v>2</v>
      </c>
      <c r="N50" s="6"/>
      <c r="O50" s="4"/>
      <c r="P50" s="4"/>
      <c r="Q50" s="4"/>
      <c r="R50" s="4"/>
      <c r="S50" s="4"/>
    </row>
    <row r="51" spans="1:19" x14ac:dyDescent="0.35">
      <c r="A51">
        <v>11</v>
      </c>
      <c r="B51" s="1" t="s">
        <v>10</v>
      </c>
      <c r="C51" s="3">
        <v>2</v>
      </c>
      <c r="D51" s="2" t="str">
        <f>_xlfn.SWITCH(表1_4[[#This Row],[color]],1,"♥",2,"♦",3,"♠",4,"♣")</f>
        <v>♦</v>
      </c>
      <c r="E51">
        <v>11</v>
      </c>
      <c r="F51" s="3">
        <v>1</v>
      </c>
      <c r="G51" t="str">
        <f>_xlfn.SWITCH(表1_4[[#This Row],[type]],1,"基本",2,"锦囊",3,"装备")</f>
        <v>基本</v>
      </c>
      <c r="H51">
        <v>0</v>
      </c>
      <c r="I51">
        <v>0</v>
      </c>
      <c r="J51">
        <v>0</v>
      </c>
      <c r="K51">
        <v>0</v>
      </c>
      <c r="L51">
        <v>2</v>
      </c>
      <c r="N51" s="6"/>
      <c r="O51" s="4"/>
      <c r="P51" s="4"/>
      <c r="Q51" s="4"/>
      <c r="R51" s="4"/>
      <c r="S51" s="4"/>
    </row>
    <row r="52" spans="1:19" x14ac:dyDescent="0.35">
      <c r="A52">
        <v>15</v>
      </c>
      <c r="B52" s="1" t="s">
        <v>10</v>
      </c>
      <c r="C52" s="3">
        <v>2</v>
      </c>
      <c r="D52" s="2" t="str">
        <f>_xlfn.SWITCH(表1_4[[#This Row],[color]],1,"♥",2,"♦",3,"♠",4,"♣")</f>
        <v>♦</v>
      </c>
      <c r="E52">
        <v>2</v>
      </c>
      <c r="F52" s="3">
        <v>1</v>
      </c>
      <c r="G52" t="str">
        <f>_xlfn.SWITCH(表1_4[[#This Row],[type]],1,"基本",2,"锦囊",3,"装备")</f>
        <v>基本</v>
      </c>
      <c r="H52">
        <v>0</v>
      </c>
      <c r="I52">
        <v>0</v>
      </c>
      <c r="J52">
        <v>0</v>
      </c>
      <c r="K52">
        <v>0</v>
      </c>
      <c r="L52">
        <v>2</v>
      </c>
      <c r="N52" s="6"/>
      <c r="O52" s="4"/>
      <c r="P52" s="4"/>
      <c r="Q52" s="4"/>
      <c r="R52" s="4"/>
      <c r="S52" s="4"/>
    </row>
    <row r="53" spans="1:19" x14ac:dyDescent="0.35">
      <c r="A53">
        <v>16</v>
      </c>
      <c r="B53" s="1" t="s">
        <v>10</v>
      </c>
      <c r="C53" s="3">
        <v>2</v>
      </c>
      <c r="D53" s="2" t="str">
        <f>_xlfn.SWITCH(表1_4[[#This Row],[color]],1,"♥",2,"♦",3,"♠",4,"♣")</f>
        <v>♦</v>
      </c>
      <c r="E53">
        <v>3</v>
      </c>
      <c r="F53" s="3">
        <v>1</v>
      </c>
      <c r="G53" t="str">
        <f>_xlfn.SWITCH(表1_4[[#This Row],[type]],1,"基本",2,"锦囊",3,"装备")</f>
        <v>基本</v>
      </c>
      <c r="H53">
        <v>0</v>
      </c>
      <c r="I53">
        <v>0</v>
      </c>
      <c r="J53">
        <v>0</v>
      </c>
      <c r="K53">
        <v>0</v>
      </c>
      <c r="L53">
        <v>2</v>
      </c>
      <c r="N53" s="6"/>
      <c r="O53" s="4"/>
      <c r="P53" s="4"/>
      <c r="Q53" s="4"/>
      <c r="R53" s="4"/>
      <c r="S53" s="4"/>
    </row>
    <row r="54" spans="1:19" x14ac:dyDescent="0.35">
      <c r="A54">
        <v>17</v>
      </c>
      <c r="B54" s="1" t="s">
        <v>10</v>
      </c>
      <c r="C54" s="3">
        <v>2</v>
      </c>
      <c r="D54" s="2" t="str">
        <f>_xlfn.SWITCH(表1_4[[#This Row],[color]],1,"♥",2,"♦",3,"♠",4,"♣")</f>
        <v>♦</v>
      </c>
      <c r="E54">
        <v>4</v>
      </c>
      <c r="F54" s="3">
        <v>1</v>
      </c>
      <c r="G54" t="str">
        <f>_xlfn.SWITCH(表1_4[[#This Row],[type]],1,"基本",2,"锦囊",3,"装备")</f>
        <v>基本</v>
      </c>
      <c r="H54">
        <v>0</v>
      </c>
      <c r="I54">
        <v>0</v>
      </c>
      <c r="J54">
        <v>0</v>
      </c>
      <c r="K54">
        <v>0</v>
      </c>
      <c r="L54">
        <v>2</v>
      </c>
      <c r="N54" s="6"/>
      <c r="O54" s="4"/>
      <c r="P54" s="4"/>
      <c r="Q54" s="4"/>
      <c r="R54" s="4"/>
      <c r="S54" s="4"/>
    </row>
    <row r="55" spans="1:19" x14ac:dyDescent="0.35">
      <c r="A55">
        <v>18</v>
      </c>
      <c r="B55" s="1" t="s">
        <v>10</v>
      </c>
      <c r="C55" s="3">
        <v>2</v>
      </c>
      <c r="D55" s="2" t="str">
        <f>_xlfn.SWITCH(表1_4[[#This Row],[color]],1,"♥",2,"♦",3,"♠",4,"♣")</f>
        <v>♦</v>
      </c>
      <c r="E55">
        <v>5</v>
      </c>
      <c r="F55" s="3">
        <v>1</v>
      </c>
      <c r="G55" t="str">
        <f>_xlfn.SWITCH(表1_4[[#This Row],[type]],1,"基本",2,"锦囊",3,"装备")</f>
        <v>基本</v>
      </c>
      <c r="H55">
        <v>0</v>
      </c>
      <c r="I55">
        <v>0</v>
      </c>
      <c r="J55">
        <v>0</v>
      </c>
      <c r="K55">
        <v>0</v>
      </c>
      <c r="L55">
        <v>2</v>
      </c>
      <c r="N55" s="6"/>
      <c r="O55" s="4"/>
      <c r="P55" s="4"/>
      <c r="Q55" s="4"/>
      <c r="R55" s="4"/>
      <c r="S55" s="4"/>
    </row>
    <row r="56" spans="1:19" x14ac:dyDescent="0.35">
      <c r="A56">
        <v>19</v>
      </c>
      <c r="B56" s="1" t="s">
        <v>10</v>
      </c>
      <c r="C56" s="3">
        <v>2</v>
      </c>
      <c r="D56" s="2" t="str">
        <f>_xlfn.SWITCH(表1_4[[#This Row],[color]],1,"♥",2,"♦",3,"♠",4,"♣")</f>
        <v>♦</v>
      </c>
      <c r="E56">
        <v>6</v>
      </c>
      <c r="F56" s="3">
        <v>1</v>
      </c>
      <c r="G56" t="str">
        <f>_xlfn.SWITCH(表1_4[[#This Row],[type]],1,"基本",2,"锦囊",3,"装备")</f>
        <v>基本</v>
      </c>
      <c r="H56">
        <v>0</v>
      </c>
      <c r="I56">
        <v>0</v>
      </c>
      <c r="J56">
        <v>0</v>
      </c>
      <c r="K56">
        <v>0</v>
      </c>
      <c r="L56">
        <v>2</v>
      </c>
      <c r="N56" s="6"/>
      <c r="O56" s="4"/>
      <c r="P56" s="4"/>
      <c r="Q56" s="4"/>
      <c r="R56" s="4"/>
      <c r="S56" s="4"/>
    </row>
    <row r="57" spans="1:19" x14ac:dyDescent="0.35">
      <c r="A57">
        <v>20</v>
      </c>
      <c r="B57" s="1" t="s">
        <v>10</v>
      </c>
      <c r="C57" s="3">
        <v>2</v>
      </c>
      <c r="D57" s="2" t="str">
        <f>_xlfn.SWITCH(表1_4[[#This Row],[color]],1,"♥",2,"♦",3,"♠",4,"♣")</f>
        <v>♦</v>
      </c>
      <c r="E57">
        <v>7</v>
      </c>
      <c r="F57" s="3">
        <v>1</v>
      </c>
      <c r="G57" t="str">
        <f>_xlfn.SWITCH(表1_4[[#This Row],[type]],1,"基本",2,"锦囊",3,"装备")</f>
        <v>基本</v>
      </c>
      <c r="H57">
        <v>0</v>
      </c>
      <c r="I57">
        <v>0</v>
      </c>
      <c r="J57">
        <v>0</v>
      </c>
      <c r="K57">
        <v>0</v>
      </c>
      <c r="L57">
        <v>2</v>
      </c>
      <c r="N57" s="6"/>
      <c r="O57" s="4"/>
      <c r="P57" s="4"/>
      <c r="Q57" s="4"/>
      <c r="R57" s="4"/>
      <c r="S57" s="4"/>
    </row>
    <row r="58" spans="1:19" x14ac:dyDescent="0.35">
      <c r="A58">
        <v>21</v>
      </c>
      <c r="B58" s="1" t="s">
        <v>10</v>
      </c>
      <c r="C58" s="3">
        <v>2</v>
      </c>
      <c r="D58" s="2" t="str">
        <f>_xlfn.SWITCH(表1_4[[#This Row],[color]],1,"♥",2,"♦",3,"♠",4,"♣")</f>
        <v>♦</v>
      </c>
      <c r="E58">
        <v>8</v>
      </c>
      <c r="F58" s="3">
        <v>1</v>
      </c>
      <c r="G58" t="str">
        <f>_xlfn.SWITCH(表1_4[[#This Row],[type]],1,"基本",2,"锦囊",3,"装备")</f>
        <v>基本</v>
      </c>
      <c r="H58">
        <v>0</v>
      </c>
      <c r="I58">
        <v>0</v>
      </c>
      <c r="J58">
        <v>0</v>
      </c>
      <c r="K58">
        <v>0</v>
      </c>
      <c r="L58">
        <v>2</v>
      </c>
      <c r="N58" s="6"/>
      <c r="O58" s="4"/>
      <c r="P58" s="4"/>
      <c r="Q58" s="4"/>
      <c r="R58" s="4"/>
      <c r="S58" s="4"/>
    </row>
    <row r="59" spans="1:19" x14ac:dyDescent="0.35">
      <c r="A59">
        <v>22</v>
      </c>
      <c r="B59" s="1" t="s">
        <v>10</v>
      </c>
      <c r="C59" s="3">
        <v>2</v>
      </c>
      <c r="D59" s="2" t="str">
        <f>_xlfn.SWITCH(表1_4[[#This Row],[color]],1,"♥",2,"♦",3,"♠",4,"♣")</f>
        <v>♦</v>
      </c>
      <c r="E59">
        <v>9</v>
      </c>
      <c r="F59" s="3">
        <v>1</v>
      </c>
      <c r="G59" t="str">
        <f>_xlfn.SWITCH(表1_4[[#This Row],[type]],1,"基本",2,"锦囊",3,"装备")</f>
        <v>基本</v>
      </c>
      <c r="H59">
        <v>0</v>
      </c>
      <c r="I59">
        <v>0</v>
      </c>
      <c r="J59">
        <v>0</v>
      </c>
      <c r="K59">
        <v>0</v>
      </c>
      <c r="L59">
        <v>2</v>
      </c>
      <c r="N59" s="6"/>
      <c r="O59" s="4"/>
      <c r="P59" s="4"/>
      <c r="Q59" s="4"/>
      <c r="R59" s="4"/>
      <c r="S59" s="4"/>
    </row>
    <row r="60" spans="1:19" x14ac:dyDescent="0.35">
      <c r="A60">
        <v>23</v>
      </c>
      <c r="B60" s="1" t="s">
        <v>10</v>
      </c>
      <c r="C60" s="3">
        <v>2</v>
      </c>
      <c r="D60" s="2" t="str">
        <f>_xlfn.SWITCH(表1_4[[#This Row],[color]],1,"♥",2,"♦",3,"♠",4,"♣")</f>
        <v>♦</v>
      </c>
      <c r="E60">
        <v>10</v>
      </c>
      <c r="F60" s="3">
        <v>1</v>
      </c>
      <c r="G60" t="str">
        <f>_xlfn.SWITCH(表1_4[[#This Row],[type]],1,"基本",2,"锦囊",3,"装备")</f>
        <v>基本</v>
      </c>
      <c r="H60">
        <v>0</v>
      </c>
      <c r="I60">
        <v>0</v>
      </c>
      <c r="J60">
        <v>0</v>
      </c>
      <c r="K60">
        <v>0</v>
      </c>
      <c r="L60">
        <v>2</v>
      </c>
      <c r="N60" s="6"/>
      <c r="O60" s="4"/>
      <c r="P60" s="4"/>
      <c r="Q60" s="4"/>
      <c r="R60" s="4"/>
      <c r="S60" s="4"/>
    </row>
    <row r="61" spans="1:19" x14ac:dyDescent="0.35">
      <c r="A61">
        <v>24</v>
      </c>
      <c r="B61" s="1" t="s">
        <v>10</v>
      </c>
      <c r="C61" s="3">
        <v>2</v>
      </c>
      <c r="D61" s="2" t="str">
        <f>_xlfn.SWITCH(表1_4[[#This Row],[color]],1,"♥",2,"♦",3,"♠",4,"♣")</f>
        <v>♦</v>
      </c>
      <c r="E61">
        <v>11</v>
      </c>
      <c r="F61" s="3">
        <v>1</v>
      </c>
      <c r="G61" t="str">
        <f>_xlfn.SWITCH(表1_4[[#This Row],[type]],1,"基本",2,"锦囊",3,"装备")</f>
        <v>基本</v>
      </c>
      <c r="H61">
        <v>0</v>
      </c>
      <c r="I61">
        <v>0</v>
      </c>
      <c r="J61">
        <v>0</v>
      </c>
      <c r="K61">
        <v>0</v>
      </c>
      <c r="L61">
        <v>2</v>
      </c>
      <c r="N61" s="6"/>
      <c r="O61" s="4"/>
      <c r="P61" s="4"/>
      <c r="Q61" s="4"/>
      <c r="R61" s="4"/>
      <c r="S61" s="4"/>
    </row>
    <row r="62" spans="1:19" x14ac:dyDescent="0.35">
      <c r="A62">
        <v>28</v>
      </c>
      <c r="B62" s="1" t="s">
        <v>10</v>
      </c>
      <c r="C62" s="3">
        <v>1</v>
      </c>
      <c r="D62" s="2" t="str">
        <f>_xlfn.SWITCH(表1_4[[#This Row],[color]],1,"♥",2,"♦",3,"♠",4,"♣")</f>
        <v>♥</v>
      </c>
      <c r="E62">
        <v>2</v>
      </c>
      <c r="F62" s="3">
        <v>1</v>
      </c>
      <c r="G62" t="str">
        <f>_xlfn.SWITCH(表1_4[[#This Row],[type]],1,"基本",2,"锦囊",3,"装备")</f>
        <v>基本</v>
      </c>
      <c r="H62">
        <v>0</v>
      </c>
      <c r="I62">
        <v>0</v>
      </c>
      <c r="J62">
        <v>0</v>
      </c>
      <c r="K62">
        <v>0</v>
      </c>
      <c r="L62">
        <v>2</v>
      </c>
      <c r="N62" s="6"/>
      <c r="O62" s="4"/>
      <c r="P62" s="4"/>
      <c r="Q62" s="4"/>
      <c r="R62" s="4"/>
      <c r="S62" s="4"/>
    </row>
    <row r="63" spans="1:19" x14ac:dyDescent="0.35">
      <c r="A63">
        <v>39</v>
      </c>
      <c r="B63" s="1" t="s">
        <v>10</v>
      </c>
      <c r="C63" s="3">
        <v>1</v>
      </c>
      <c r="D63" s="2" t="str">
        <f>_xlfn.SWITCH(表1_4[[#This Row],[color]],1,"♥",2,"♦",3,"♠",4,"♣")</f>
        <v>♥</v>
      </c>
      <c r="E63">
        <v>13</v>
      </c>
      <c r="F63" s="3">
        <v>1</v>
      </c>
      <c r="G63" t="str">
        <f>_xlfn.SWITCH(表1_4[[#This Row],[type]],1,"基本",2,"锦囊",3,"装备")</f>
        <v>基本</v>
      </c>
      <c r="H63">
        <v>0</v>
      </c>
      <c r="I63">
        <v>0</v>
      </c>
      <c r="J63">
        <v>0</v>
      </c>
      <c r="K63">
        <v>0</v>
      </c>
      <c r="L63">
        <v>2</v>
      </c>
      <c r="N63" s="6"/>
      <c r="O63" s="4"/>
      <c r="P63" s="4"/>
      <c r="Q63" s="4"/>
      <c r="R63" s="4"/>
      <c r="S63" s="4"/>
    </row>
    <row r="64" spans="1:19" x14ac:dyDescent="0.35">
      <c r="A64">
        <v>41</v>
      </c>
      <c r="B64" s="1" t="s">
        <v>10</v>
      </c>
      <c r="C64" s="3">
        <v>1</v>
      </c>
      <c r="D64" s="2" t="str">
        <f>_xlfn.SWITCH(表1_4[[#This Row],[color]],1,"♥",2,"♦",3,"♠",4,"♣")</f>
        <v>♥</v>
      </c>
      <c r="E64">
        <v>2</v>
      </c>
      <c r="F64" s="3">
        <v>1</v>
      </c>
      <c r="G64" t="str">
        <f>_xlfn.SWITCH(表1_4[[#This Row],[type]],1,"基本",2,"锦囊",3,"装备")</f>
        <v>基本</v>
      </c>
      <c r="H64">
        <v>0</v>
      </c>
      <c r="I64">
        <v>0</v>
      </c>
      <c r="J64">
        <v>0</v>
      </c>
      <c r="K64">
        <v>0</v>
      </c>
      <c r="L64">
        <v>2</v>
      </c>
      <c r="N64" s="6"/>
      <c r="O64" s="4"/>
      <c r="P64" s="4"/>
      <c r="Q64" s="4"/>
      <c r="R64" s="4"/>
      <c r="S64" s="4"/>
    </row>
    <row r="65" spans="1:19" x14ac:dyDescent="0.35">
      <c r="A65">
        <v>116</v>
      </c>
      <c r="B65" s="1" t="s">
        <v>10</v>
      </c>
      <c r="C65" s="3">
        <v>1</v>
      </c>
      <c r="D65" s="2" t="str">
        <f>_xlfn.SWITCH(表1_4[[#This Row],[color]],1,"♥",2,"♦",3,"♠",4,"♣")</f>
        <v>♥</v>
      </c>
      <c r="E65">
        <v>8</v>
      </c>
      <c r="F65" s="3">
        <v>1</v>
      </c>
      <c r="G65" t="str">
        <f>_xlfn.SWITCH(表1_4[[#This Row],[type]],1,"基本",2,"锦囊",3,"装备")</f>
        <v>基本</v>
      </c>
      <c r="H65">
        <v>0</v>
      </c>
      <c r="I65">
        <v>0</v>
      </c>
      <c r="J65">
        <v>0</v>
      </c>
      <c r="K65">
        <v>0</v>
      </c>
      <c r="L65">
        <v>2</v>
      </c>
      <c r="N65" s="6"/>
      <c r="O65" s="4"/>
      <c r="P65" s="4"/>
      <c r="Q65" s="4"/>
      <c r="R65" s="4"/>
      <c r="S65" s="4"/>
    </row>
    <row r="66" spans="1:19" x14ac:dyDescent="0.35">
      <c r="A66">
        <v>117</v>
      </c>
      <c r="B66" s="1" t="s">
        <v>10</v>
      </c>
      <c r="C66" s="3">
        <v>1</v>
      </c>
      <c r="D66" s="2" t="str">
        <f>_xlfn.SWITCH(表1_4[[#This Row],[color]],1,"♥",2,"♦",3,"♠",4,"♣")</f>
        <v>♥</v>
      </c>
      <c r="E66">
        <v>9</v>
      </c>
      <c r="F66" s="3">
        <v>1</v>
      </c>
      <c r="G66" t="str">
        <f>_xlfn.SWITCH(表1_4[[#This Row],[type]],1,"基本",2,"锦囊",3,"装备")</f>
        <v>基本</v>
      </c>
      <c r="H66">
        <v>0</v>
      </c>
      <c r="I66">
        <v>0</v>
      </c>
      <c r="J66">
        <v>0</v>
      </c>
      <c r="K66">
        <v>0</v>
      </c>
      <c r="L66">
        <v>2</v>
      </c>
      <c r="N66" s="6"/>
      <c r="O66" s="4"/>
      <c r="P66" s="4"/>
      <c r="Q66" s="4"/>
      <c r="R66" s="4"/>
      <c r="S66" s="4"/>
    </row>
    <row r="67" spans="1:19" x14ac:dyDescent="0.35">
      <c r="A67">
        <v>119</v>
      </c>
      <c r="B67" s="1" t="s">
        <v>10</v>
      </c>
      <c r="C67" s="3">
        <v>1</v>
      </c>
      <c r="D67" s="2" t="str">
        <f>_xlfn.SWITCH(表1_4[[#This Row],[color]],1,"♥",2,"♦",3,"♠",4,"♣")</f>
        <v>♥</v>
      </c>
      <c r="E67">
        <v>11</v>
      </c>
      <c r="F67" s="3">
        <v>1</v>
      </c>
      <c r="G67" t="str">
        <f>_xlfn.SWITCH(表1_4[[#This Row],[type]],1,"基本",2,"锦囊",3,"装备")</f>
        <v>基本</v>
      </c>
      <c r="H67">
        <v>0</v>
      </c>
      <c r="I67">
        <v>0</v>
      </c>
      <c r="J67">
        <v>0</v>
      </c>
      <c r="K67">
        <v>0</v>
      </c>
      <c r="L67">
        <v>2</v>
      </c>
      <c r="N67" s="6"/>
      <c r="O67" s="4"/>
      <c r="P67" s="4"/>
      <c r="Q67" s="4"/>
      <c r="R67" s="4"/>
      <c r="S67" s="4"/>
    </row>
    <row r="68" spans="1:19" x14ac:dyDescent="0.35">
      <c r="A68">
        <v>120</v>
      </c>
      <c r="B68" s="1" t="s">
        <v>10</v>
      </c>
      <c r="C68" s="3">
        <v>1</v>
      </c>
      <c r="D68" s="2" t="str">
        <f>_xlfn.SWITCH(表1_4[[#This Row],[color]],1,"♥",2,"♦",3,"♠",4,"♣")</f>
        <v>♥</v>
      </c>
      <c r="E68">
        <v>12</v>
      </c>
      <c r="F68" s="3">
        <v>1</v>
      </c>
      <c r="G68" t="str">
        <f>_xlfn.SWITCH(表1_4[[#This Row],[type]],1,"基本",2,"锦囊",3,"装备")</f>
        <v>基本</v>
      </c>
      <c r="H68">
        <v>0</v>
      </c>
      <c r="I68">
        <v>0</v>
      </c>
      <c r="J68">
        <v>0</v>
      </c>
      <c r="K68">
        <v>0</v>
      </c>
      <c r="L68">
        <v>2</v>
      </c>
      <c r="N68" s="6"/>
      <c r="O68" s="4"/>
      <c r="P68" s="4"/>
      <c r="Q68" s="4"/>
      <c r="R68" s="4"/>
      <c r="S68" s="4"/>
    </row>
    <row r="69" spans="1:19" x14ac:dyDescent="0.35">
      <c r="A69">
        <v>127</v>
      </c>
      <c r="B69" s="1" t="s">
        <v>10</v>
      </c>
      <c r="C69" s="3">
        <v>2</v>
      </c>
      <c r="D69" s="2" t="str">
        <f>_xlfn.SWITCH(表1_4[[#This Row],[color]],1,"♥",2,"♦",3,"♠",4,"♣")</f>
        <v>♦</v>
      </c>
      <c r="E69">
        <v>6</v>
      </c>
      <c r="F69" s="3">
        <v>1</v>
      </c>
      <c r="G69" t="str">
        <f>_xlfn.SWITCH(表1_4[[#This Row],[type]],1,"基本",2,"锦囊",3,"装备")</f>
        <v>基本</v>
      </c>
      <c r="H69">
        <v>0</v>
      </c>
      <c r="I69">
        <v>0</v>
      </c>
      <c r="J69">
        <v>0</v>
      </c>
      <c r="K69">
        <v>0</v>
      </c>
      <c r="L69">
        <v>2</v>
      </c>
      <c r="N69" s="6"/>
      <c r="O69" s="4"/>
      <c r="P69" s="4"/>
      <c r="Q69" s="4"/>
      <c r="R69" s="4"/>
      <c r="S69" s="4"/>
    </row>
    <row r="70" spans="1:19" x14ac:dyDescent="0.35">
      <c r="A70">
        <v>128</v>
      </c>
      <c r="B70" s="1" t="s">
        <v>10</v>
      </c>
      <c r="C70" s="3">
        <v>2</v>
      </c>
      <c r="D70" s="2" t="str">
        <f>_xlfn.SWITCH(表1_4[[#This Row],[color]],1,"♥",2,"♦",3,"♠",4,"♣")</f>
        <v>♦</v>
      </c>
      <c r="E70">
        <v>7</v>
      </c>
      <c r="F70" s="3">
        <v>1</v>
      </c>
      <c r="G70" t="str">
        <f>_xlfn.SWITCH(表1_4[[#This Row],[type]],1,"基本",2,"锦囊",3,"装备")</f>
        <v>基本</v>
      </c>
      <c r="H70">
        <v>0</v>
      </c>
      <c r="I70">
        <v>0</v>
      </c>
      <c r="J70">
        <v>0</v>
      </c>
      <c r="K70">
        <v>0</v>
      </c>
      <c r="L70">
        <v>2</v>
      </c>
      <c r="N70" s="6"/>
      <c r="O70" s="4"/>
      <c r="P70" s="4"/>
      <c r="Q70" s="4"/>
      <c r="R70" s="4"/>
      <c r="S70" s="4"/>
    </row>
    <row r="71" spans="1:19" x14ac:dyDescent="0.35">
      <c r="A71">
        <v>129</v>
      </c>
      <c r="B71" s="1" t="s">
        <v>10</v>
      </c>
      <c r="C71" s="3">
        <v>2</v>
      </c>
      <c r="D71" s="2" t="str">
        <f>_xlfn.SWITCH(表1_4[[#This Row],[color]],1,"♥",2,"♦",3,"♠",4,"♣")</f>
        <v>♦</v>
      </c>
      <c r="E71">
        <v>8</v>
      </c>
      <c r="F71" s="3">
        <v>1</v>
      </c>
      <c r="G71" t="str">
        <f>_xlfn.SWITCH(表1_4[[#This Row],[type]],1,"基本",2,"锦囊",3,"装备")</f>
        <v>基本</v>
      </c>
      <c r="H71">
        <v>0</v>
      </c>
      <c r="I71">
        <v>0</v>
      </c>
      <c r="J71">
        <v>0</v>
      </c>
      <c r="K71">
        <v>0</v>
      </c>
      <c r="L71">
        <v>2</v>
      </c>
      <c r="N71" s="6"/>
      <c r="O71" s="4"/>
      <c r="P71" s="4"/>
      <c r="Q71" s="4"/>
      <c r="R71" s="4"/>
      <c r="S71" s="4"/>
    </row>
    <row r="72" spans="1:19" x14ac:dyDescent="0.35">
      <c r="A72">
        <v>131</v>
      </c>
      <c r="B72" s="1" t="s">
        <v>10</v>
      </c>
      <c r="C72" s="3">
        <v>2</v>
      </c>
      <c r="D72" s="2" t="str">
        <f>_xlfn.SWITCH(表1_4[[#This Row],[color]],1,"♥",2,"♦",3,"♠",4,"♣")</f>
        <v>♦</v>
      </c>
      <c r="E72">
        <v>10</v>
      </c>
      <c r="F72" s="3">
        <v>1</v>
      </c>
      <c r="G72" t="str">
        <f>_xlfn.SWITCH(表1_4[[#This Row],[type]],1,"基本",2,"锦囊",3,"装备")</f>
        <v>基本</v>
      </c>
      <c r="H72">
        <v>0</v>
      </c>
      <c r="I72">
        <v>0</v>
      </c>
      <c r="J72">
        <v>0</v>
      </c>
      <c r="K72">
        <v>0</v>
      </c>
      <c r="L72">
        <v>2</v>
      </c>
      <c r="N72" s="6"/>
    </row>
    <row r="73" spans="1:19" x14ac:dyDescent="0.35">
      <c r="A73">
        <v>132</v>
      </c>
      <c r="B73" s="1" t="s">
        <v>10</v>
      </c>
      <c r="C73" s="3">
        <v>2</v>
      </c>
      <c r="D73" s="2" t="str">
        <f>_xlfn.SWITCH(表1_4[[#This Row],[color]],1,"♥",2,"♦",3,"♠",4,"♣")</f>
        <v>♦</v>
      </c>
      <c r="E73">
        <v>11</v>
      </c>
      <c r="F73" s="3">
        <v>1</v>
      </c>
      <c r="G73" t="str">
        <f>_xlfn.SWITCH(表1_4[[#This Row],[type]],1,"基本",2,"锦囊",3,"装备")</f>
        <v>基本</v>
      </c>
      <c r="H73">
        <v>0</v>
      </c>
      <c r="I73">
        <v>0</v>
      </c>
      <c r="J73">
        <v>0</v>
      </c>
      <c r="K73">
        <v>0</v>
      </c>
      <c r="L73">
        <v>2</v>
      </c>
      <c r="N73" s="6"/>
    </row>
    <row r="74" spans="1:19" x14ac:dyDescent="0.35">
      <c r="A74">
        <v>6</v>
      </c>
      <c r="B74" s="1" t="s">
        <v>13</v>
      </c>
      <c r="C74" s="3">
        <v>2</v>
      </c>
      <c r="D74" s="2" t="str">
        <f>_xlfn.SWITCH(表1_4[[#This Row],[color]],1,"♥",2,"♦",3,"♠",4,"♣")</f>
        <v>♦</v>
      </c>
      <c r="E74">
        <v>6</v>
      </c>
      <c r="F74" s="3">
        <v>1</v>
      </c>
      <c r="G74" t="str">
        <f>_xlfn.SWITCH(表1_4[[#This Row],[type]],1,"基本",2,"锦囊",3,"装备")</f>
        <v>基本</v>
      </c>
      <c r="H74">
        <v>0</v>
      </c>
      <c r="I74">
        <v>0</v>
      </c>
      <c r="J74">
        <v>0</v>
      </c>
      <c r="K74">
        <v>0</v>
      </c>
      <c r="L74">
        <v>1</v>
      </c>
      <c r="N74" s="6"/>
      <c r="O74" s="4"/>
      <c r="P74" s="4"/>
      <c r="Q74" s="4" t="s">
        <v>53</v>
      </c>
      <c r="R74" s="4"/>
      <c r="S74" s="4"/>
    </row>
    <row r="75" spans="1:19" x14ac:dyDescent="0.35">
      <c r="A75">
        <v>7</v>
      </c>
      <c r="B75" s="1" t="s">
        <v>13</v>
      </c>
      <c r="C75" s="3">
        <v>2</v>
      </c>
      <c r="D75" s="2" t="str">
        <f>_xlfn.SWITCH(表1_4[[#This Row],[color]],1,"♥",2,"♦",3,"♠",4,"♣")</f>
        <v>♦</v>
      </c>
      <c r="E75">
        <v>7</v>
      </c>
      <c r="F75" s="3">
        <v>1</v>
      </c>
      <c r="G75" t="str">
        <f>_xlfn.SWITCH(表1_4[[#This Row],[type]],1,"基本",2,"锦囊",3,"装备")</f>
        <v>基本</v>
      </c>
      <c r="H75">
        <v>0</v>
      </c>
      <c r="I75">
        <v>0</v>
      </c>
      <c r="J75">
        <v>0</v>
      </c>
      <c r="K75">
        <v>0</v>
      </c>
      <c r="L75">
        <v>1</v>
      </c>
      <c r="N75" s="6"/>
      <c r="O75" s="4"/>
      <c r="P75" s="4"/>
      <c r="Q75" s="4" t="s">
        <v>53</v>
      </c>
      <c r="R75" s="4"/>
      <c r="S75" s="4"/>
    </row>
    <row r="76" spans="1:19" x14ac:dyDescent="0.35">
      <c r="A76">
        <v>8</v>
      </c>
      <c r="B76" s="1" t="s">
        <v>13</v>
      </c>
      <c r="C76" s="3">
        <v>2</v>
      </c>
      <c r="D76" s="2" t="str">
        <f>_xlfn.SWITCH(表1_4[[#This Row],[color]],1,"♥",2,"♦",3,"♠",4,"♣")</f>
        <v>♦</v>
      </c>
      <c r="E76">
        <v>8</v>
      </c>
      <c r="F76" s="3">
        <v>1</v>
      </c>
      <c r="G76" t="str">
        <f>_xlfn.SWITCH(表1_4[[#This Row],[type]],1,"基本",2,"锦囊",3,"装备")</f>
        <v>基本</v>
      </c>
      <c r="H76">
        <v>0</v>
      </c>
      <c r="I76">
        <v>0</v>
      </c>
      <c r="J76">
        <v>0</v>
      </c>
      <c r="K76">
        <v>0</v>
      </c>
      <c r="L76">
        <v>1</v>
      </c>
      <c r="N76" s="6"/>
      <c r="O76" s="4"/>
      <c r="P76" s="4"/>
      <c r="Q76" s="4" t="s">
        <v>53</v>
      </c>
      <c r="R76" s="4"/>
      <c r="S76" s="4"/>
    </row>
    <row r="77" spans="1:19" x14ac:dyDescent="0.35">
      <c r="A77">
        <v>9</v>
      </c>
      <c r="B77" s="1" t="s">
        <v>13</v>
      </c>
      <c r="C77" s="3">
        <v>2</v>
      </c>
      <c r="D77" s="2" t="str">
        <f>_xlfn.SWITCH(表1_4[[#This Row],[color]],1,"♥",2,"♦",3,"♠",4,"♣")</f>
        <v>♦</v>
      </c>
      <c r="E77">
        <v>9</v>
      </c>
      <c r="F77" s="3">
        <v>1</v>
      </c>
      <c r="G77" t="str">
        <f>_xlfn.SWITCH(表1_4[[#This Row],[type]],1,"基本",2,"锦囊",3,"装备")</f>
        <v>基本</v>
      </c>
      <c r="H77">
        <v>0</v>
      </c>
      <c r="I77">
        <v>0</v>
      </c>
      <c r="J77">
        <v>0</v>
      </c>
      <c r="K77">
        <v>0</v>
      </c>
      <c r="L77">
        <v>1</v>
      </c>
      <c r="N77" s="6"/>
      <c r="O77" s="4"/>
      <c r="P77" s="4"/>
      <c r="Q77" s="4" t="s">
        <v>53</v>
      </c>
      <c r="R77" s="4"/>
      <c r="S77" s="4"/>
    </row>
    <row r="78" spans="1:19" x14ac:dyDescent="0.35">
      <c r="A78">
        <v>10</v>
      </c>
      <c r="B78" s="1" t="s">
        <v>13</v>
      </c>
      <c r="C78" s="3">
        <v>2</v>
      </c>
      <c r="D78" s="2" t="str">
        <f>_xlfn.SWITCH(表1_4[[#This Row],[color]],1,"♥",2,"♦",3,"♠",4,"♣")</f>
        <v>♦</v>
      </c>
      <c r="E78">
        <v>10</v>
      </c>
      <c r="F78" s="3">
        <v>1</v>
      </c>
      <c r="G78" t="str">
        <f>_xlfn.SWITCH(表1_4[[#This Row],[type]],1,"基本",2,"锦囊",3,"装备")</f>
        <v>基本</v>
      </c>
      <c r="H78">
        <v>0</v>
      </c>
      <c r="I78">
        <v>0</v>
      </c>
      <c r="J78">
        <v>0</v>
      </c>
      <c r="K78">
        <v>0</v>
      </c>
      <c r="L78">
        <v>1</v>
      </c>
      <c r="N78" s="6"/>
      <c r="O78" s="4"/>
      <c r="P78" s="4"/>
      <c r="Q78" s="4" t="s">
        <v>53</v>
      </c>
      <c r="R78" s="4"/>
      <c r="S78" s="4"/>
    </row>
    <row r="79" spans="1:19" x14ac:dyDescent="0.35">
      <c r="A79">
        <v>26</v>
      </c>
      <c r="B79" s="1" t="s">
        <v>13</v>
      </c>
      <c r="C79" s="3">
        <v>2</v>
      </c>
      <c r="D79" s="2" t="str">
        <f>_xlfn.SWITCH(表1_4[[#This Row],[color]],1,"♥",2,"♦",3,"♠",4,"♣")</f>
        <v>♦</v>
      </c>
      <c r="E79">
        <v>13</v>
      </c>
      <c r="F79" s="3">
        <v>1</v>
      </c>
      <c r="G79" t="str">
        <f>_xlfn.SWITCH(表1_4[[#This Row],[type]],1,"基本",2,"锦囊",3,"装备")</f>
        <v>基本</v>
      </c>
      <c r="H79">
        <v>0</v>
      </c>
      <c r="I79">
        <v>0</v>
      </c>
      <c r="J79">
        <v>0</v>
      </c>
      <c r="K79">
        <v>0</v>
      </c>
      <c r="L79">
        <v>1</v>
      </c>
      <c r="N79" s="6"/>
      <c r="O79" s="4"/>
      <c r="P79" s="4"/>
      <c r="Q79" s="4" t="s">
        <v>53</v>
      </c>
      <c r="R79" s="4"/>
      <c r="S79" s="4"/>
    </row>
    <row r="80" spans="1:19" x14ac:dyDescent="0.35">
      <c r="A80">
        <v>36</v>
      </c>
      <c r="B80" s="1" t="s">
        <v>13</v>
      </c>
      <c r="C80" s="3">
        <v>1</v>
      </c>
      <c r="D80" s="2" t="str">
        <f>_xlfn.SWITCH(表1_4[[#This Row],[color]],1,"♥",2,"♦",3,"♠",4,"♣")</f>
        <v>♥</v>
      </c>
      <c r="E80">
        <v>10</v>
      </c>
      <c r="F80" s="3">
        <v>1</v>
      </c>
      <c r="G80" t="str">
        <f>_xlfn.SWITCH(表1_4[[#This Row],[type]],1,"基本",2,"锦囊",3,"装备")</f>
        <v>基本</v>
      </c>
      <c r="H80">
        <v>0</v>
      </c>
      <c r="I80">
        <v>0</v>
      </c>
      <c r="J80">
        <v>0</v>
      </c>
      <c r="K80">
        <v>0</v>
      </c>
      <c r="L80">
        <v>1</v>
      </c>
      <c r="N80" s="6"/>
      <c r="O80" s="4"/>
      <c r="P80" s="4"/>
      <c r="Q80" s="4" t="s">
        <v>53</v>
      </c>
      <c r="R80" s="4"/>
      <c r="S80" s="4"/>
    </row>
    <row r="81" spans="1:19" x14ac:dyDescent="0.35">
      <c r="A81">
        <v>49</v>
      </c>
      <c r="B81" s="1" t="s">
        <v>13</v>
      </c>
      <c r="C81" s="3">
        <v>1</v>
      </c>
      <c r="D81" s="2" t="str">
        <f>_xlfn.SWITCH(表1_4[[#This Row],[color]],1,"♥",2,"♦",3,"♠",4,"♣")</f>
        <v>♥</v>
      </c>
      <c r="E81">
        <v>10</v>
      </c>
      <c r="F81" s="3">
        <v>1</v>
      </c>
      <c r="G81" t="str">
        <f>_xlfn.SWITCH(表1_4[[#This Row],[type]],1,"基本",2,"锦囊",3,"装备")</f>
        <v>基本</v>
      </c>
      <c r="H81">
        <v>0</v>
      </c>
      <c r="I81">
        <v>0</v>
      </c>
      <c r="J81">
        <v>0</v>
      </c>
      <c r="K81">
        <v>0</v>
      </c>
      <c r="L81">
        <v>1</v>
      </c>
      <c r="N81" s="6"/>
      <c r="O81" s="4"/>
      <c r="P81" s="4"/>
      <c r="Q81" s="4" t="s">
        <v>53</v>
      </c>
      <c r="R81" s="4"/>
      <c r="S81" s="4"/>
    </row>
    <row r="82" spans="1:19" x14ac:dyDescent="0.35">
      <c r="A82">
        <v>50</v>
      </c>
      <c r="B82" s="1" t="s">
        <v>13</v>
      </c>
      <c r="C82" s="3">
        <v>1</v>
      </c>
      <c r="D82" s="2" t="str">
        <f>_xlfn.SWITCH(表1_4[[#This Row],[color]],1,"♥",2,"♦",3,"♠",4,"♣")</f>
        <v>♥</v>
      </c>
      <c r="E82">
        <v>11</v>
      </c>
      <c r="F82" s="3">
        <v>1</v>
      </c>
      <c r="G82" t="str">
        <f>_xlfn.SWITCH(表1_4[[#This Row],[type]],1,"基本",2,"锦囊",3,"装备")</f>
        <v>基本</v>
      </c>
      <c r="H82">
        <v>0</v>
      </c>
      <c r="I82">
        <v>0</v>
      </c>
      <c r="J82">
        <v>0</v>
      </c>
      <c r="K82">
        <v>0</v>
      </c>
      <c r="L82">
        <v>1</v>
      </c>
      <c r="N82" s="6"/>
      <c r="O82" s="4"/>
      <c r="P82" s="4"/>
      <c r="Q82" s="4" t="s">
        <v>53</v>
      </c>
      <c r="R82" s="4"/>
      <c r="S82" s="4"/>
    </row>
    <row r="83" spans="1:19" x14ac:dyDescent="0.35">
      <c r="A83">
        <v>54</v>
      </c>
      <c r="B83" s="1" t="s">
        <v>13</v>
      </c>
      <c r="C83" s="3">
        <v>4</v>
      </c>
      <c r="D83" t="str">
        <f>_xlfn.SWITCH(表1_4[[#This Row],[color]],1,"♥",2,"♦",3,"♠",4,"♣")</f>
        <v>♣</v>
      </c>
      <c r="E83">
        <v>2</v>
      </c>
      <c r="F83" s="3">
        <v>1</v>
      </c>
      <c r="G83" t="str">
        <f>_xlfn.SWITCH(表1_4[[#This Row],[type]],1,"基本",2,"锦囊",3,"装备")</f>
        <v>基本</v>
      </c>
      <c r="H83">
        <v>0</v>
      </c>
      <c r="I83">
        <v>0</v>
      </c>
      <c r="J83">
        <v>0</v>
      </c>
      <c r="K83">
        <v>0</v>
      </c>
      <c r="L83">
        <v>1</v>
      </c>
      <c r="N83" s="6"/>
      <c r="O83" s="4"/>
      <c r="P83" s="4"/>
      <c r="Q83" s="4" t="s">
        <v>53</v>
      </c>
      <c r="R83" s="4"/>
      <c r="S83" s="4"/>
    </row>
    <row r="84" spans="1:19" x14ac:dyDescent="0.35">
      <c r="A84">
        <v>55</v>
      </c>
      <c r="B84" s="1" t="s">
        <v>13</v>
      </c>
      <c r="C84" s="3">
        <v>4</v>
      </c>
      <c r="D84" t="str">
        <f>_xlfn.SWITCH(表1_4[[#This Row],[color]],1,"♥",2,"♦",3,"♠",4,"♣")</f>
        <v>♣</v>
      </c>
      <c r="E84">
        <v>3</v>
      </c>
      <c r="F84" s="3">
        <v>1</v>
      </c>
      <c r="G84" t="str">
        <f>_xlfn.SWITCH(表1_4[[#This Row],[type]],1,"基本",2,"锦囊",3,"装备")</f>
        <v>基本</v>
      </c>
      <c r="H84">
        <v>0</v>
      </c>
      <c r="I84">
        <v>0</v>
      </c>
      <c r="J84">
        <v>0</v>
      </c>
      <c r="K84">
        <v>0</v>
      </c>
      <c r="L84">
        <v>1</v>
      </c>
      <c r="N84" s="6"/>
      <c r="O84" s="4"/>
      <c r="P84" s="4"/>
      <c r="Q84" s="4" t="s">
        <v>53</v>
      </c>
      <c r="R84" s="4"/>
      <c r="S84" s="4"/>
    </row>
    <row r="85" spans="1:19" x14ac:dyDescent="0.35">
      <c r="A85">
        <v>56</v>
      </c>
      <c r="B85" s="1" t="s">
        <v>13</v>
      </c>
      <c r="C85" s="3">
        <v>4</v>
      </c>
      <c r="D85" t="str">
        <f>_xlfn.SWITCH(表1_4[[#This Row],[color]],1,"♥",2,"♦",3,"♠",4,"♣")</f>
        <v>♣</v>
      </c>
      <c r="E85">
        <v>4</v>
      </c>
      <c r="F85" s="3">
        <v>1</v>
      </c>
      <c r="G85" t="str">
        <f>_xlfn.SWITCH(表1_4[[#This Row],[type]],1,"基本",2,"锦囊",3,"装备")</f>
        <v>基本</v>
      </c>
      <c r="H85">
        <v>0</v>
      </c>
      <c r="I85">
        <v>0</v>
      </c>
      <c r="J85">
        <v>0</v>
      </c>
      <c r="K85">
        <v>0</v>
      </c>
      <c r="L85">
        <v>1</v>
      </c>
      <c r="N85" s="6"/>
      <c r="O85" s="4"/>
      <c r="P85" s="4"/>
      <c r="Q85" s="4" t="s">
        <v>53</v>
      </c>
      <c r="R85" s="4"/>
      <c r="S85" s="4"/>
    </row>
    <row r="86" spans="1:19" x14ac:dyDescent="0.35">
      <c r="A86">
        <v>57</v>
      </c>
      <c r="B86" s="1" t="s">
        <v>13</v>
      </c>
      <c r="C86" s="3">
        <v>4</v>
      </c>
      <c r="D86" t="str">
        <f>_xlfn.SWITCH(表1_4[[#This Row],[color]],1,"♥",2,"♦",3,"♠",4,"♣")</f>
        <v>♣</v>
      </c>
      <c r="E86">
        <v>5</v>
      </c>
      <c r="F86" s="3">
        <v>1</v>
      </c>
      <c r="G86" t="str">
        <f>_xlfn.SWITCH(表1_4[[#This Row],[type]],1,"基本",2,"锦囊",3,"装备")</f>
        <v>基本</v>
      </c>
      <c r="H86">
        <v>0</v>
      </c>
      <c r="I86">
        <v>0</v>
      </c>
      <c r="J86">
        <v>0</v>
      </c>
      <c r="K86">
        <v>0</v>
      </c>
      <c r="L86">
        <v>1</v>
      </c>
      <c r="N86" s="6"/>
      <c r="O86" s="4"/>
      <c r="P86" s="4"/>
      <c r="Q86" s="4" t="s">
        <v>53</v>
      </c>
      <c r="R86" s="4"/>
      <c r="S86" s="4"/>
    </row>
    <row r="87" spans="1:19" x14ac:dyDescent="0.35">
      <c r="A87">
        <v>58</v>
      </c>
      <c r="B87" s="1" t="s">
        <v>13</v>
      </c>
      <c r="C87" s="3">
        <v>4</v>
      </c>
      <c r="D87" t="str">
        <f>_xlfn.SWITCH(表1_4[[#This Row],[color]],1,"♥",2,"♦",3,"♠",4,"♣")</f>
        <v>♣</v>
      </c>
      <c r="E87">
        <v>6</v>
      </c>
      <c r="F87" s="3">
        <v>1</v>
      </c>
      <c r="G87" t="str">
        <f>_xlfn.SWITCH(表1_4[[#This Row],[type]],1,"基本",2,"锦囊",3,"装备")</f>
        <v>基本</v>
      </c>
      <c r="H87">
        <v>0</v>
      </c>
      <c r="I87">
        <v>0</v>
      </c>
      <c r="J87">
        <v>0</v>
      </c>
      <c r="K87">
        <v>0</v>
      </c>
      <c r="L87">
        <v>1</v>
      </c>
      <c r="N87" s="6"/>
      <c r="O87" s="4"/>
      <c r="P87" s="4"/>
      <c r="Q87" s="4" t="s">
        <v>53</v>
      </c>
      <c r="R87" s="4"/>
      <c r="S87" s="4"/>
    </row>
    <row r="88" spans="1:19" x14ac:dyDescent="0.35">
      <c r="A88">
        <v>59</v>
      </c>
      <c r="B88" s="1" t="s">
        <v>13</v>
      </c>
      <c r="C88" s="3">
        <v>4</v>
      </c>
      <c r="D88" t="str">
        <f>_xlfn.SWITCH(表1_4[[#This Row],[color]],1,"♥",2,"♦",3,"♠",4,"♣")</f>
        <v>♣</v>
      </c>
      <c r="E88">
        <v>7</v>
      </c>
      <c r="F88" s="3">
        <v>1</v>
      </c>
      <c r="G88" t="str">
        <f>_xlfn.SWITCH(表1_4[[#This Row],[type]],1,"基本",2,"锦囊",3,"装备")</f>
        <v>基本</v>
      </c>
      <c r="H88">
        <v>0</v>
      </c>
      <c r="I88">
        <v>0</v>
      </c>
      <c r="J88">
        <v>0</v>
      </c>
      <c r="K88">
        <v>0</v>
      </c>
      <c r="L88">
        <v>1</v>
      </c>
      <c r="N88" s="6"/>
      <c r="O88" s="4"/>
      <c r="P88" s="4"/>
      <c r="Q88" s="4" t="s">
        <v>53</v>
      </c>
      <c r="R88" s="4"/>
      <c r="S88" s="4"/>
    </row>
    <row r="89" spans="1:19" x14ac:dyDescent="0.35">
      <c r="A89">
        <v>60</v>
      </c>
      <c r="B89" s="1" t="s">
        <v>13</v>
      </c>
      <c r="C89" s="3">
        <v>4</v>
      </c>
      <c r="D89" t="str">
        <f>_xlfn.SWITCH(表1_4[[#This Row],[color]],1,"♥",2,"♦",3,"♠",4,"♣")</f>
        <v>♣</v>
      </c>
      <c r="E89">
        <v>8</v>
      </c>
      <c r="F89" s="3">
        <v>1</v>
      </c>
      <c r="G89" t="str">
        <f>_xlfn.SWITCH(表1_4[[#This Row],[type]],1,"基本",2,"锦囊",3,"装备")</f>
        <v>基本</v>
      </c>
      <c r="H89">
        <v>0</v>
      </c>
      <c r="I89">
        <v>0</v>
      </c>
      <c r="J89">
        <v>0</v>
      </c>
      <c r="K89">
        <v>0</v>
      </c>
      <c r="L89">
        <v>1</v>
      </c>
      <c r="N89" s="6"/>
      <c r="O89" s="4"/>
      <c r="P89" s="4"/>
      <c r="Q89" s="4" t="s">
        <v>53</v>
      </c>
      <c r="R89" s="4"/>
      <c r="S89" s="4"/>
    </row>
    <row r="90" spans="1:19" x14ac:dyDescent="0.35">
      <c r="A90">
        <v>61</v>
      </c>
      <c r="B90" s="1" t="s">
        <v>13</v>
      </c>
      <c r="C90" s="3">
        <v>4</v>
      </c>
      <c r="D90" t="str">
        <f>_xlfn.SWITCH(表1_4[[#This Row],[color]],1,"♥",2,"♦",3,"♠",4,"♣")</f>
        <v>♣</v>
      </c>
      <c r="E90">
        <v>9</v>
      </c>
      <c r="F90" s="3">
        <v>1</v>
      </c>
      <c r="G90" t="str">
        <f>_xlfn.SWITCH(表1_4[[#This Row],[type]],1,"基本",2,"锦囊",3,"装备")</f>
        <v>基本</v>
      </c>
      <c r="H90">
        <v>0</v>
      </c>
      <c r="I90">
        <v>0</v>
      </c>
      <c r="J90">
        <v>0</v>
      </c>
      <c r="K90">
        <v>0</v>
      </c>
      <c r="L90">
        <v>1</v>
      </c>
      <c r="N90" s="6"/>
      <c r="O90" s="4"/>
      <c r="P90" s="4"/>
      <c r="Q90" s="4" t="s">
        <v>53</v>
      </c>
      <c r="R90" s="4"/>
      <c r="S90" s="4"/>
    </row>
    <row r="91" spans="1:19" x14ac:dyDescent="0.35">
      <c r="A91">
        <v>62</v>
      </c>
      <c r="B91" s="1" t="s">
        <v>13</v>
      </c>
      <c r="C91" s="3">
        <v>4</v>
      </c>
      <c r="D91" t="str">
        <f>_xlfn.SWITCH(表1_4[[#This Row],[color]],1,"♥",2,"♦",3,"♠",4,"♣")</f>
        <v>♣</v>
      </c>
      <c r="E91">
        <v>10</v>
      </c>
      <c r="F91" s="3">
        <v>1</v>
      </c>
      <c r="G91" t="str">
        <f>_xlfn.SWITCH(表1_4[[#This Row],[type]],1,"基本",2,"锦囊",3,"装备")</f>
        <v>基本</v>
      </c>
      <c r="H91">
        <v>0</v>
      </c>
      <c r="I91">
        <v>0</v>
      </c>
      <c r="J91">
        <v>0</v>
      </c>
      <c r="K91">
        <v>0</v>
      </c>
      <c r="L91">
        <v>1</v>
      </c>
      <c r="N91" s="6"/>
      <c r="O91" s="4"/>
      <c r="P91" s="4"/>
      <c r="Q91" s="4" t="s">
        <v>53</v>
      </c>
      <c r="R91" s="4"/>
      <c r="S91" s="4"/>
    </row>
    <row r="92" spans="1:19" x14ac:dyDescent="0.35">
      <c r="A92">
        <v>63</v>
      </c>
      <c r="B92" s="1" t="s">
        <v>13</v>
      </c>
      <c r="C92" s="3">
        <v>4</v>
      </c>
      <c r="D92" t="str">
        <f>_xlfn.SWITCH(表1_4[[#This Row],[color]],1,"♥",2,"♦",3,"♠",4,"♣")</f>
        <v>♣</v>
      </c>
      <c r="E92">
        <v>11</v>
      </c>
      <c r="F92" s="3">
        <v>1</v>
      </c>
      <c r="G92" t="str">
        <f>_xlfn.SWITCH(表1_4[[#This Row],[type]],1,"基本",2,"锦囊",3,"装备")</f>
        <v>基本</v>
      </c>
      <c r="H92">
        <v>0</v>
      </c>
      <c r="I92">
        <v>0</v>
      </c>
      <c r="J92">
        <v>0</v>
      </c>
      <c r="K92">
        <v>0</v>
      </c>
      <c r="L92">
        <v>1</v>
      </c>
      <c r="N92" s="6"/>
      <c r="O92" s="4"/>
      <c r="P92" s="4"/>
      <c r="Q92" s="4" t="s">
        <v>53</v>
      </c>
      <c r="R92" s="4"/>
      <c r="S92" s="4"/>
    </row>
    <row r="93" spans="1:19" x14ac:dyDescent="0.35">
      <c r="A93">
        <v>73</v>
      </c>
      <c r="B93" s="1" t="s">
        <v>13</v>
      </c>
      <c r="C93" s="3">
        <v>4</v>
      </c>
      <c r="D93" t="str">
        <f>_xlfn.SWITCH(表1_4[[#This Row],[color]],1,"♥",2,"♦",3,"♠",4,"♣")</f>
        <v>♣</v>
      </c>
      <c r="E93">
        <v>8</v>
      </c>
      <c r="F93" s="3">
        <v>1</v>
      </c>
      <c r="G93" t="str">
        <f>_xlfn.SWITCH(表1_4[[#This Row],[type]],1,"基本",2,"锦囊",3,"装备")</f>
        <v>基本</v>
      </c>
      <c r="H93">
        <v>0</v>
      </c>
      <c r="I93">
        <v>0</v>
      </c>
      <c r="J93">
        <v>0</v>
      </c>
      <c r="K93">
        <v>0</v>
      </c>
      <c r="L93">
        <v>1</v>
      </c>
      <c r="N93" s="6"/>
      <c r="O93" s="4"/>
      <c r="P93" s="4"/>
      <c r="Q93" s="4" t="s">
        <v>53</v>
      </c>
      <c r="R93" s="4"/>
      <c r="S93" s="4"/>
    </row>
    <row r="94" spans="1:19" x14ac:dyDescent="0.35">
      <c r="A94">
        <v>74</v>
      </c>
      <c r="B94" s="1" t="s">
        <v>13</v>
      </c>
      <c r="C94" s="3">
        <v>4</v>
      </c>
      <c r="D94" t="str">
        <f>_xlfn.SWITCH(表1_4[[#This Row],[color]],1,"♥",2,"♦",3,"♠",4,"♣")</f>
        <v>♣</v>
      </c>
      <c r="E94">
        <v>9</v>
      </c>
      <c r="F94" s="3">
        <v>1</v>
      </c>
      <c r="G94" t="str">
        <f>_xlfn.SWITCH(表1_4[[#This Row],[type]],1,"基本",2,"锦囊",3,"装备")</f>
        <v>基本</v>
      </c>
      <c r="H94">
        <v>0</v>
      </c>
      <c r="I94">
        <v>0</v>
      </c>
      <c r="J94">
        <v>0</v>
      </c>
      <c r="K94">
        <v>0</v>
      </c>
      <c r="L94">
        <v>1</v>
      </c>
      <c r="N94" s="6"/>
      <c r="O94" s="4"/>
      <c r="P94" s="4"/>
      <c r="Q94" s="4" t="s">
        <v>53</v>
      </c>
      <c r="R94" s="4"/>
      <c r="S94" s="4"/>
    </row>
    <row r="95" spans="1:19" x14ac:dyDescent="0.35">
      <c r="A95">
        <v>75</v>
      </c>
      <c r="B95" s="1" t="s">
        <v>13</v>
      </c>
      <c r="C95" s="3">
        <v>4</v>
      </c>
      <c r="D95" t="str">
        <f>_xlfn.SWITCH(表1_4[[#This Row],[color]],1,"♥",2,"♦",3,"♠",4,"♣")</f>
        <v>♣</v>
      </c>
      <c r="E95">
        <v>10</v>
      </c>
      <c r="F95" s="3">
        <v>1</v>
      </c>
      <c r="G95" t="str">
        <f>_xlfn.SWITCH(表1_4[[#This Row],[type]],1,"基本",2,"锦囊",3,"装备")</f>
        <v>基本</v>
      </c>
      <c r="H95">
        <v>0</v>
      </c>
      <c r="I95">
        <v>0</v>
      </c>
      <c r="J95">
        <v>0</v>
      </c>
      <c r="K95">
        <v>0</v>
      </c>
      <c r="L95">
        <v>1</v>
      </c>
      <c r="N95" s="6"/>
      <c r="O95" s="4"/>
      <c r="P95" s="4"/>
      <c r="Q95" s="4" t="s">
        <v>53</v>
      </c>
      <c r="R95" s="4"/>
      <c r="S95" s="4"/>
    </row>
    <row r="96" spans="1:19" x14ac:dyDescent="0.35">
      <c r="A96">
        <v>76</v>
      </c>
      <c r="B96" s="1" t="s">
        <v>13</v>
      </c>
      <c r="C96" s="3">
        <v>4</v>
      </c>
      <c r="D96" t="str">
        <f>_xlfn.SWITCH(表1_4[[#This Row],[color]],1,"♥",2,"♦",3,"♠",4,"♣")</f>
        <v>♣</v>
      </c>
      <c r="E96">
        <v>11</v>
      </c>
      <c r="F96" s="3">
        <v>1</v>
      </c>
      <c r="G96" t="str">
        <f>_xlfn.SWITCH(表1_4[[#This Row],[type]],1,"基本",2,"锦囊",3,"装备")</f>
        <v>基本</v>
      </c>
      <c r="H96">
        <v>0</v>
      </c>
      <c r="I96">
        <v>0</v>
      </c>
      <c r="J96">
        <v>0</v>
      </c>
      <c r="K96">
        <v>0</v>
      </c>
      <c r="L96">
        <v>1</v>
      </c>
      <c r="N96" s="6"/>
      <c r="O96" s="4"/>
      <c r="P96" s="4"/>
      <c r="Q96" s="4" t="s">
        <v>53</v>
      </c>
      <c r="R96" s="4"/>
      <c r="S96" s="4"/>
    </row>
    <row r="97" spans="1:19" x14ac:dyDescent="0.35">
      <c r="A97">
        <v>85</v>
      </c>
      <c r="B97" s="1" t="s">
        <v>13</v>
      </c>
      <c r="C97" s="3">
        <v>3</v>
      </c>
      <c r="D97" t="str">
        <f>_xlfn.SWITCH(表1_4[[#This Row],[color]],1,"♥",2,"♦",3,"♠",4,"♣")</f>
        <v>♠</v>
      </c>
      <c r="E97">
        <v>7</v>
      </c>
      <c r="F97" s="3">
        <v>1</v>
      </c>
      <c r="G97" t="str">
        <f>_xlfn.SWITCH(表1_4[[#This Row],[type]],1,"基本",2,"锦囊",3,"装备")</f>
        <v>基本</v>
      </c>
      <c r="H97">
        <v>0</v>
      </c>
      <c r="I97">
        <v>0</v>
      </c>
      <c r="J97">
        <v>0</v>
      </c>
      <c r="K97">
        <v>0</v>
      </c>
      <c r="L97">
        <v>1</v>
      </c>
      <c r="N97" s="6"/>
      <c r="O97" s="4"/>
      <c r="P97" s="4"/>
      <c r="Q97" s="4" t="s">
        <v>53</v>
      </c>
      <c r="R97" s="4"/>
      <c r="S97" s="4"/>
    </row>
    <row r="98" spans="1:19" x14ac:dyDescent="0.35">
      <c r="A98">
        <v>86</v>
      </c>
      <c r="B98" s="1" t="s">
        <v>13</v>
      </c>
      <c r="C98" s="3">
        <v>3</v>
      </c>
      <c r="D98" t="str">
        <f>_xlfn.SWITCH(表1_4[[#This Row],[color]],1,"♥",2,"♦",3,"♠",4,"♣")</f>
        <v>♠</v>
      </c>
      <c r="E98">
        <v>8</v>
      </c>
      <c r="F98" s="3">
        <v>1</v>
      </c>
      <c r="G98" t="str">
        <f>_xlfn.SWITCH(表1_4[[#This Row],[type]],1,"基本",2,"锦囊",3,"装备")</f>
        <v>基本</v>
      </c>
      <c r="H98">
        <v>0</v>
      </c>
      <c r="I98">
        <v>0</v>
      </c>
      <c r="J98">
        <v>0</v>
      </c>
      <c r="K98">
        <v>0</v>
      </c>
      <c r="L98">
        <v>1</v>
      </c>
      <c r="N98" s="6"/>
      <c r="O98" s="4"/>
      <c r="P98" s="4"/>
      <c r="Q98" s="4" t="s">
        <v>53</v>
      </c>
      <c r="R98" s="4"/>
      <c r="S98" s="4"/>
    </row>
    <row r="99" spans="1:19" x14ac:dyDescent="0.35">
      <c r="A99">
        <v>87</v>
      </c>
      <c r="B99" s="1" t="s">
        <v>13</v>
      </c>
      <c r="C99" s="3">
        <v>3</v>
      </c>
      <c r="D99" t="str">
        <f>_xlfn.SWITCH(表1_4[[#This Row],[color]],1,"♥",2,"♦",3,"♠",4,"♣")</f>
        <v>♠</v>
      </c>
      <c r="E99">
        <v>9</v>
      </c>
      <c r="F99" s="3">
        <v>1</v>
      </c>
      <c r="G99" t="str">
        <f>_xlfn.SWITCH(表1_4[[#This Row],[type]],1,"基本",2,"锦囊",3,"装备")</f>
        <v>基本</v>
      </c>
      <c r="H99">
        <v>0</v>
      </c>
      <c r="I99">
        <v>0</v>
      </c>
      <c r="J99">
        <v>0</v>
      </c>
      <c r="K99">
        <v>0</v>
      </c>
      <c r="L99">
        <v>1</v>
      </c>
      <c r="N99" s="6"/>
      <c r="O99" s="4"/>
      <c r="P99" s="4"/>
      <c r="Q99" s="4" t="s">
        <v>53</v>
      </c>
      <c r="R99" s="4"/>
      <c r="S99" s="4"/>
    </row>
    <row r="100" spans="1:19" x14ac:dyDescent="0.35">
      <c r="A100">
        <v>88</v>
      </c>
      <c r="B100" s="1" t="s">
        <v>13</v>
      </c>
      <c r="C100" s="3">
        <v>3</v>
      </c>
      <c r="D100" t="str">
        <f>_xlfn.SWITCH(表1_4[[#This Row],[color]],1,"♥",2,"♦",3,"♠",4,"♣")</f>
        <v>♠</v>
      </c>
      <c r="E100">
        <v>10</v>
      </c>
      <c r="F100" s="3">
        <v>1</v>
      </c>
      <c r="G100" t="str">
        <f>_xlfn.SWITCH(表1_4[[#This Row],[type]],1,"基本",2,"锦囊",3,"装备")</f>
        <v>基本</v>
      </c>
      <c r="H100">
        <v>0</v>
      </c>
      <c r="I100">
        <v>0</v>
      </c>
      <c r="J100">
        <v>0</v>
      </c>
      <c r="K100">
        <v>0</v>
      </c>
      <c r="L100">
        <v>1</v>
      </c>
      <c r="N100" s="6"/>
      <c r="O100" s="4"/>
      <c r="P100" s="4"/>
      <c r="Q100" s="4" t="s">
        <v>53</v>
      </c>
      <c r="R100" s="4"/>
      <c r="S100" s="4"/>
    </row>
    <row r="101" spans="1:19" x14ac:dyDescent="0.35">
      <c r="A101">
        <v>99</v>
      </c>
      <c r="B101" s="1" t="s">
        <v>13</v>
      </c>
      <c r="C101" s="3">
        <v>3</v>
      </c>
      <c r="D101" t="str">
        <f>_xlfn.SWITCH(表1_4[[#This Row],[color]],1,"♥",2,"♦",3,"♠",4,"♣")</f>
        <v>♠</v>
      </c>
      <c r="E101">
        <v>8</v>
      </c>
      <c r="F101" s="3">
        <v>1</v>
      </c>
      <c r="G101" t="str">
        <f>_xlfn.SWITCH(表1_4[[#This Row],[type]],1,"基本",2,"锦囊",3,"装备")</f>
        <v>基本</v>
      </c>
      <c r="H101">
        <v>0</v>
      </c>
      <c r="I101">
        <v>0</v>
      </c>
      <c r="J101">
        <v>0</v>
      </c>
      <c r="K101">
        <v>0</v>
      </c>
      <c r="L101">
        <v>1</v>
      </c>
      <c r="N101" s="6"/>
      <c r="O101" s="4"/>
      <c r="P101" s="4"/>
      <c r="Q101" s="4" t="s">
        <v>53</v>
      </c>
      <c r="R101" s="4"/>
      <c r="S101" s="4"/>
    </row>
    <row r="102" spans="1:19" x14ac:dyDescent="0.35">
      <c r="A102">
        <v>100</v>
      </c>
      <c r="B102" s="1" t="s">
        <v>13</v>
      </c>
      <c r="C102" s="3">
        <v>3</v>
      </c>
      <c r="D102" t="str">
        <f>_xlfn.SWITCH(表1_4[[#This Row],[color]],1,"♥",2,"♦",3,"♠",4,"♣")</f>
        <v>♠</v>
      </c>
      <c r="E102">
        <v>9</v>
      </c>
      <c r="F102" s="3">
        <v>1</v>
      </c>
      <c r="G102" t="str">
        <f>_xlfn.SWITCH(表1_4[[#This Row],[type]],1,"基本",2,"锦囊",3,"装备")</f>
        <v>基本</v>
      </c>
      <c r="H102">
        <v>0</v>
      </c>
      <c r="I102">
        <v>0</v>
      </c>
      <c r="J102">
        <v>0</v>
      </c>
      <c r="K102">
        <v>0</v>
      </c>
      <c r="L102">
        <v>1</v>
      </c>
      <c r="N102" s="6"/>
      <c r="O102" s="4"/>
      <c r="P102" s="4"/>
      <c r="Q102" s="4" t="s">
        <v>53</v>
      </c>
      <c r="R102" s="4"/>
      <c r="S102" s="4"/>
    </row>
    <row r="103" spans="1:19" x14ac:dyDescent="0.35">
      <c r="A103">
        <v>101</v>
      </c>
      <c r="B103" s="1" t="s">
        <v>13</v>
      </c>
      <c r="C103" s="3">
        <v>3</v>
      </c>
      <c r="D103" t="str">
        <f>_xlfn.SWITCH(表1_4[[#This Row],[color]],1,"♥",2,"♦",3,"♠",4,"♣")</f>
        <v>♠</v>
      </c>
      <c r="E103">
        <v>10</v>
      </c>
      <c r="F103" s="3">
        <v>1</v>
      </c>
      <c r="G103" t="str">
        <f>_xlfn.SWITCH(表1_4[[#This Row],[type]],1,"基本",2,"锦囊",3,"装备")</f>
        <v>基本</v>
      </c>
      <c r="H103">
        <v>0</v>
      </c>
      <c r="I103">
        <v>0</v>
      </c>
      <c r="J103">
        <v>0</v>
      </c>
      <c r="K103">
        <v>0</v>
      </c>
      <c r="L103">
        <v>1</v>
      </c>
      <c r="N103" s="6"/>
      <c r="O103" s="4"/>
      <c r="P103" s="4"/>
      <c r="Q103" s="4" t="s">
        <v>53</v>
      </c>
      <c r="R103" s="4"/>
      <c r="S103" s="4"/>
    </row>
    <row r="104" spans="1:19" x14ac:dyDescent="0.35">
      <c r="A104">
        <v>112</v>
      </c>
      <c r="B104" s="1" t="s">
        <v>13</v>
      </c>
      <c r="C104" s="3">
        <v>1</v>
      </c>
      <c r="D104" s="2" t="str">
        <f>_xlfn.SWITCH(表1_4[[#This Row],[color]],1,"♥",2,"♦",3,"♠",4,"♣")</f>
        <v>♥</v>
      </c>
      <c r="E104">
        <v>4</v>
      </c>
      <c r="F104" s="3">
        <v>1</v>
      </c>
      <c r="G104" t="str">
        <f>_xlfn.SWITCH(表1_4[[#This Row],[type]],1,"基本",2,"锦囊",3,"装备")</f>
        <v>基本</v>
      </c>
      <c r="H104">
        <v>6</v>
      </c>
      <c r="I104">
        <v>0</v>
      </c>
      <c r="J104">
        <v>0</v>
      </c>
      <c r="K104">
        <v>0</v>
      </c>
      <c r="L104">
        <v>1</v>
      </c>
      <c r="N104" s="6"/>
      <c r="O104" s="4"/>
      <c r="P104" s="4"/>
      <c r="Q104" s="4" t="s">
        <v>53</v>
      </c>
      <c r="R104" s="4"/>
      <c r="S104" s="4"/>
    </row>
    <row r="105" spans="1:19" x14ac:dyDescent="0.35">
      <c r="A105">
        <v>115</v>
      </c>
      <c r="B105" s="1" t="s">
        <v>13</v>
      </c>
      <c r="C105" s="3">
        <v>1</v>
      </c>
      <c r="D105" s="2" t="str">
        <f>_xlfn.SWITCH(表1_4[[#This Row],[color]],1,"♥",2,"♦",3,"♠",4,"♣")</f>
        <v>♥</v>
      </c>
      <c r="E105">
        <v>7</v>
      </c>
      <c r="F105" s="3">
        <v>1</v>
      </c>
      <c r="G105" t="str">
        <f>_xlfn.SWITCH(表1_4[[#This Row],[type]],1,"基本",2,"锦囊",3,"装备")</f>
        <v>基本</v>
      </c>
      <c r="H105">
        <v>6</v>
      </c>
      <c r="I105">
        <v>0</v>
      </c>
      <c r="J105">
        <v>0</v>
      </c>
      <c r="K105">
        <v>0</v>
      </c>
      <c r="L105">
        <v>1</v>
      </c>
      <c r="N105" s="6"/>
      <c r="O105" s="4"/>
      <c r="P105" s="4"/>
      <c r="Q105" s="4" t="s">
        <v>53</v>
      </c>
      <c r="R105" s="4"/>
      <c r="S105" s="4"/>
    </row>
    <row r="106" spans="1:19" x14ac:dyDescent="0.35">
      <c r="A106">
        <v>118</v>
      </c>
      <c r="B106" s="1" t="s">
        <v>13</v>
      </c>
      <c r="C106" s="3">
        <v>1</v>
      </c>
      <c r="D106" s="2" t="str">
        <f>_xlfn.SWITCH(表1_4[[#This Row],[color]],1,"♥",2,"♦",3,"♠",4,"♣")</f>
        <v>♥</v>
      </c>
      <c r="E106">
        <v>10</v>
      </c>
      <c r="F106" s="3">
        <v>1</v>
      </c>
      <c r="G106" t="str">
        <f>_xlfn.SWITCH(表1_4[[#This Row],[type]],1,"基本",2,"锦囊",3,"装备")</f>
        <v>基本</v>
      </c>
      <c r="H106">
        <v>6</v>
      </c>
      <c r="I106">
        <v>0</v>
      </c>
      <c r="J106">
        <v>0</v>
      </c>
      <c r="K106">
        <v>0</v>
      </c>
      <c r="L106">
        <v>1</v>
      </c>
      <c r="N106" s="6"/>
      <c r="O106" s="4"/>
      <c r="P106" s="4"/>
      <c r="Q106" s="4" t="s">
        <v>53</v>
      </c>
      <c r="R106" s="4"/>
      <c r="S106" s="4"/>
    </row>
    <row r="107" spans="1:19" x14ac:dyDescent="0.35">
      <c r="A107">
        <v>125</v>
      </c>
      <c r="B107" s="1" t="s">
        <v>13</v>
      </c>
      <c r="C107" s="3">
        <v>2</v>
      </c>
      <c r="D107" s="2" t="str">
        <f>_xlfn.SWITCH(表1_4[[#This Row],[color]],1,"♥",2,"♦",3,"♠",4,"♣")</f>
        <v>♦</v>
      </c>
      <c r="E107">
        <v>4</v>
      </c>
      <c r="F107" s="3">
        <v>1</v>
      </c>
      <c r="G107" t="str">
        <f>_xlfn.SWITCH(表1_4[[#This Row],[type]],1,"基本",2,"锦囊",3,"装备")</f>
        <v>基本</v>
      </c>
      <c r="H107">
        <v>6</v>
      </c>
      <c r="I107">
        <v>0</v>
      </c>
      <c r="J107">
        <v>0</v>
      </c>
      <c r="K107">
        <v>0</v>
      </c>
      <c r="L107">
        <v>1</v>
      </c>
      <c r="N107" s="6"/>
      <c r="O107" s="4"/>
      <c r="P107" s="4"/>
      <c r="Q107" s="4" t="s">
        <v>53</v>
      </c>
      <c r="R107" s="4"/>
      <c r="S107" s="4"/>
    </row>
    <row r="108" spans="1:19" x14ac:dyDescent="0.35">
      <c r="A108">
        <v>126</v>
      </c>
      <c r="B108" s="1" t="s">
        <v>13</v>
      </c>
      <c r="C108" s="3">
        <v>2</v>
      </c>
      <c r="D108" s="2" t="str">
        <f>_xlfn.SWITCH(表1_4[[#This Row],[color]],1,"♥",2,"♦",3,"♠",4,"♣")</f>
        <v>♦</v>
      </c>
      <c r="E108">
        <v>5</v>
      </c>
      <c r="F108" s="3">
        <v>1</v>
      </c>
      <c r="G108" t="str">
        <f>_xlfn.SWITCH(表1_4[[#This Row],[type]],1,"基本",2,"锦囊",3,"装备")</f>
        <v>基本</v>
      </c>
      <c r="H108">
        <v>6</v>
      </c>
      <c r="I108">
        <v>0</v>
      </c>
      <c r="J108">
        <v>0</v>
      </c>
      <c r="K108">
        <v>0</v>
      </c>
      <c r="L108">
        <v>1</v>
      </c>
      <c r="N108" s="6"/>
      <c r="O108" s="4"/>
      <c r="P108" s="4"/>
      <c r="Q108" s="4" t="s">
        <v>53</v>
      </c>
      <c r="R108" s="4"/>
      <c r="S108" s="4"/>
    </row>
    <row r="109" spans="1:19" x14ac:dyDescent="0.35">
      <c r="A109">
        <v>138</v>
      </c>
      <c r="B109" s="1" t="s">
        <v>13</v>
      </c>
      <c r="C109" s="3">
        <v>3</v>
      </c>
      <c r="D109" t="str">
        <f>_xlfn.SWITCH(表1_4[[#This Row],[color]],1,"♥",2,"♦",3,"♠",4,"♣")</f>
        <v>♠</v>
      </c>
      <c r="E109">
        <v>4</v>
      </c>
      <c r="F109" s="3">
        <v>1</v>
      </c>
      <c r="G109" t="str">
        <f>_xlfn.SWITCH(表1_4[[#This Row],[type]],1,"基本",2,"锦囊",3,"装备")</f>
        <v>基本</v>
      </c>
      <c r="H109">
        <v>7</v>
      </c>
      <c r="I109">
        <v>0</v>
      </c>
      <c r="J109">
        <v>0</v>
      </c>
      <c r="K109">
        <v>0</v>
      </c>
      <c r="L109">
        <v>1</v>
      </c>
      <c r="N109" s="6"/>
      <c r="Q109" s="4" t="s">
        <v>53</v>
      </c>
    </row>
    <row r="110" spans="1:19" x14ac:dyDescent="0.35">
      <c r="A110">
        <v>139</v>
      </c>
      <c r="B110" s="1" t="s">
        <v>13</v>
      </c>
      <c r="C110" s="3">
        <v>3</v>
      </c>
      <c r="D110" t="str">
        <f>_xlfn.SWITCH(表1_4[[#This Row],[color]],1,"♥",2,"♦",3,"♠",4,"♣")</f>
        <v>♠</v>
      </c>
      <c r="E110">
        <v>5</v>
      </c>
      <c r="F110" s="3">
        <v>1</v>
      </c>
      <c r="G110" t="str">
        <f>_xlfn.SWITCH(表1_4[[#This Row],[type]],1,"基本",2,"锦囊",3,"装备")</f>
        <v>基本</v>
      </c>
      <c r="H110">
        <v>7</v>
      </c>
      <c r="I110">
        <v>0</v>
      </c>
      <c r="J110">
        <v>0</v>
      </c>
      <c r="K110">
        <v>0</v>
      </c>
      <c r="L110">
        <v>1</v>
      </c>
      <c r="N110" s="6"/>
      <c r="Q110" s="4" t="s">
        <v>53</v>
      </c>
    </row>
    <row r="111" spans="1:19" x14ac:dyDescent="0.35">
      <c r="A111">
        <v>140</v>
      </c>
      <c r="B111" s="1" t="s">
        <v>13</v>
      </c>
      <c r="C111" s="3">
        <v>3</v>
      </c>
      <c r="D111" t="str">
        <f>_xlfn.SWITCH(表1_4[[#This Row],[color]],1,"♥",2,"♦",3,"♠",4,"♣")</f>
        <v>♠</v>
      </c>
      <c r="E111">
        <v>6</v>
      </c>
      <c r="F111" s="3">
        <v>1</v>
      </c>
      <c r="G111" t="str">
        <f>_xlfn.SWITCH(表1_4[[#This Row],[type]],1,"基本",2,"锦囊",3,"装备")</f>
        <v>基本</v>
      </c>
      <c r="H111">
        <v>7</v>
      </c>
      <c r="I111">
        <v>0</v>
      </c>
      <c r="J111">
        <v>0</v>
      </c>
      <c r="K111">
        <v>0</v>
      </c>
      <c r="L111">
        <v>1</v>
      </c>
      <c r="N111" s="6"/>
      <c r="Q111" s="4" t="s">
        <v>53</v>
      </c>
    </row>
    <row r="112" spans="1:19" x14ac:dyDescent="0.35">
      <c r="A112">
        <v>141</v>
      </c>
      <c r="B112" s="1" t="s">
        <v>13</v>
      </c>
      <c r="C112" s="3">
        <v>3</v>
      </c>
      <c r="D112" t="str">
        <f>_xlfn.SWITCH(表1_4[[#This Row],[color]],1,"♥",2,"♦",3,"♠",4,"♣")</f>
        <v>♠</v>
      </c>
      <c r="E112">
        <v>7</v>
      </c>
      <c r="F112" s="3">
        <v>1</v>
      </c>
      <c r="G112" t="str">
        <f>_xlfn.SWITCH(表1_4[[#This Row],[type]],1,"基本",2,"锦囊",3,"装备")</f>
        <v>基本</v>
      </c>
      <c r="H112">
        <v>7</v>
      </c>
      <c r="I112">
        <v>0</v>
      </c>
      <c r="J112">
        <v>0</v>
      </c>
      <c r="K112">
        <v>0</v>
      </c>
      <c r="L112">
        <v>1</v>
      </c>
      <c r="N112" s="6"/>
      <c r="Q112" s="4" t="s">
        <v>53</v>
      </c>
    </row>
    <row r="113" spans="1:19" x14ac:dyDescent="0.35">
      <c r="A113">
        <v>142</v>
      </c>
      <c r="B113" s="1" t="s">
        <v>13</v>
      </c>
      <c r="C113" s="3">
        <v>3</v>
      </c>
      <c r="D113" t="str">
        <f>_xlfn.SWITCH(表1_4[[#This Row],[color]],1,"♥",2,"♦",3,"♠",4,"♣")</f>
        <v>♠</v>
      </c>
      <c r="E113">
        <v>8</v>
      </c>
      <c r="F113" s="3">
        <v>1</v>
      </c>
      <c r="G113" t="str">
        <f>_xlfn.SWITCH(表1_4[[#This Row],[type]],1,"基本",2,"锦囊",3,"装备")</f>
        <v>基本</v>
      </c>
      <c r="H113">
        <v>7</v>
      </c>
      <c r="I113">
        <v>0</v>
      </c>
      <c r="J113">
        <v>0</v>
      </c>
      <c r="K113">
        <v>0</v>
      </c>
      <c r="L113">
        <v>1</v>
      </c>
      <c r="N113" s="6"/>
      <c r="Q113" s="4" t="s">
        <v>53</v>
      </c>
    </row>
    <row r="114" spans="1:19" x14ac:dyDescent="0.35">
      <c r="A114">
        <v>152</v>
      </c>
      <c r="B114" s="1" t="s">
        <v>13</v>
      </c>
      <c r="C114" s="3">
        <v>4</v>
      </c>
      <c r="D114" t="str">
        <f>_xlfn.SWITCH(表1_4[[#This Row],[color]],1,"♥",2,"♦",3,"♠",4,"♣")</f>
        <v>♣</v>
      </c>
      <c r="E114">
        <v>5</v>
      </c>
      <c r="F114" s="3">
        <v>1</v>
      </c>
      <c r="G114" t="str">
        <f>_xlfn.SWITCH(表1_4[[#This Row],[type]],1,"基本",2,"锦囊",3,"装备")</f>
        <v>基本</v>
      </c>
      <c r="H114">
        <v>7</v>
      </c>
      <c r="I114">
        <v>0</v>
      </c>
      <c r="J114">
        <v>0</v>
      </c>
      <c r="K114">
        <v>0</v>
      </c>
      <c r="L114">
        <v>1</v>
      </c>
      <c r="N114" s="6"/>
      <c r="Q114" s="4" t="s">
        <v>53</v>
      </c>
    </row>
    <row r="115" spans="1:19" x14ac:dyDescent="0.35">
      <c r="A115">
        <v>153</v>
      </c>
      <c r="B115" s="1" t="s">
        <v>13</v>
      </c>
      <c r="C115" s="3">
        <v>4</v>
      </c>
      <c r="D115" t="str">
        <f>_xlfn.SWITCH(表1_4[[#This Row],[color]],1,"♥",2,"♦",3,"♠",4,"♣")</f>
        <v>♣</v>
      </c>
      <c r="E115">
        <v>6</v>
      </c>
      <c r="F115" s="3">
        <v>1</v>
      </c>
      <c r="G115" t="str">
        <f>_xlfn.SWITCH(表1_4[[#This Row],[type]],1,"基本",2,"锦囊",3,"装备")</f>
        <v>基本</v>
      </c>
      <c r="H115">
        <v>7</v>
      </c>
      <c r="I115">
        <v>0</v>
      </c>
      <c r="J115">
        <v>0</v>
      </c>
      <c r="K115">
        <v>0</v>
      </c>
      <c r="L115">
        <v>1</v>
      </c>
      <c r="N115" s="6"/>
      <c r="Q115" s="4" t="s">
        <v>53</v>
      </c>
    </row>
    <row r="116" spans="1:19" x14ac:dyDescent="0.35">
      <c r="A116">
        <v>154</v>
      </c>
      <c r="B116" s="1" t="s">
        <v>13</v>
      </c>
      <c r="C116" s="3">
        <v>4</v>
      </c>
      <c r="D116" t="str">
        <f>_xlfn.SWITCH(表1_4[[#This Row],[color]],1,"♥",2,"♦",3,"♠",4,"♣")</f>
        <v>♣</v>
      </c>
      <c r="E116">
        <v>7</v>
      </c>
      <c r="F116" s="3">
        <v>1</v>
      </c>
      <c r="G116" t="str">
        <f>_xlfn.SWITCH(表1_4[[#This Row],[type]],1,"基本",2,"锦囊",3,"装备")</f>
        <v>基本</v>
      </c>
      <c r="H116">
        <v>7</v>
      </c>
      <c r="I116">
        <v>0</v>
      </c>
      <c r="J116">
        <v>0</v>
      </c>
      <c r="K116">
        <v>0</v>
      </c>
      <c r="L116">
        <v>1</v>
      </c>
      <c r="N116" s="6"/>
      <c r="Q116" s="4" t="s">
        <v>53</v>
      </c>
    </row>
    <row r="117" spans="1:19" x14ac:dyDescent="0.35">
      <c r="A117">
        <v>155</v>
      </c>
      <c r="B117" s="1" t="s">
        <v>13</v>
      </c>
      <c r="C117" s="3">
        <v>4</v>
      </c>
      <c r="D117" t="str">
        <f>_xlfn.SWITCH(表1_4[[#This Row],[color]],1,"♥",2,"♦",3,"♠",4,"♣")</f>
        <v>♣</v>
      </c>
      <c r="E117">
        <v>8</v>
      </c>
      <c r="F117" s="3">
        <v>1</v>
      </c>
      <c r="G117" t="str">
        <f>_xlfn.SWITCH(表1_4[[#This Row],[type]],1,"基本",2,"锦囊",3,"装备")</f>
        <v>基本</v>
      </c>
      <c r="H117">
        <v>7</v>
      </c>
      <c r="I117">
        <v>0</v>
      </c>
      <c r="J117">
        <v>0</v>
      </c>
      <c r="K117">
        <v>0</v>
      </c>
      <c r="L117">
        <v>1</v>
      </c>
      <c r="N117" s="6"/>
      <c r="Q117" s="4" t="s">
        <v>53</v>
      </c>
    </row>
    <row r="118" spans="1:19" x14ac:dyDescent="0.35">
      <c r="A118">
        <v>107</v>
      </c>
      <c r="B118" s="1" t="s">
        <v>39</v>
      </c>
      <c r="C118" s="3">
        <v>4</v>
      </c>
      <c r="D118" t="str">
        <f>_xlfn.SWITCH(表1_4[[#This Row],[color]],1,"♥",2,"♦",3,"♠",4,"♣")</f>
        <v>♣</v>
      </c>
      <c r="E118">
        <v>2</v>
      </c>
      <c r="F118" s="3">
        <v>3</v>
      </c>
      <c r="G118" t="str">
        <f>_xlfn.SWITCH(表1_4[[#This Row],[type]],1,"基本",2,"锦囊",3,"装备")</f>
        <v>装备</v>
      </c>
      <c r="H118">
        <v>2</v>
      </c>
      <c r="I118">
        <v>0</v>
      </c>
      <c r="J118">
        <v>0</v>
      </c>
      <c r="K118">
        <v>0</v>
      </c>
      <c r="L118">
        <v>200</v>
      </c>
      <c r="N118" s="6"/>
      <c r="O118" s="4"/>
      <c r="P118" s="4"/>
      <c r="Q118" s="4"/>
      <c r="R118" s="4"/>
      <c r="S118" s="4"/>
    </row>
    <row r="119" spans="1:19" x14ac:dyDescent="0.35">
      <c r="A119">
        <v>96</v>
      </c>
      <c r="B119" s="1" t="s">
        <v>36</v>
      </c>
      <c r="C119" s="3">
        <v>3</v>
      </c>
      <c r="D119" t="str">
        <f>_xlfn.SWITCH(表1_4[[#This Row],[color]],1,"♥",2,"♦",3,"♠",4,"♣")</f>
        <v>♠</v>
      </c>
      <c r="E119">
        <v>5</v>
      </c>
      <c r="F119" s="3">
        <v>3</v>
      </c>
      <c r="G119" t="str">
        <f>_xlfn.SWITCH(表1_4[[#This Row],[type]],1,"基本",2,"锦囊",3,"装备")</f>
        <v>装备</v>
      </c>
      <c r="H119">
        <v>1</v>
      </c>
      <c r="I119">
        <v>3</v>
      </c>
      <c r="J119">
        <v>0</v>
      </c>
      <c r="K119">
        <v>0</v>
      </c>
      <c r="L119">
        <v>26</v>
      </c>
      <c r="N119" s="6"/>
      <c r="O119" s="4"/>
      <c r="P119" s="4"/>
      <c r="Q119" s="4"/>
      <c r="R119" s="4"/>
      <c r="S119" s="4"/>
    </row>
    <row r="120" spans="1:19" x14ac:dyDescent="0.35">
      <c r="A120">
        <v>84</v>
      </c>
      <c r="B120" s="1" t="s">
        <v>34</v>
      </c>
      <c r="C120" s="3">
        <v>3</v>
      </c>
      <c r="D120" t="str">
        <f>_xlfn.SWITCH(表1_4[[#This Row],[color]],1,"♥",2,"♦",3,"♠",4,"♣")</f>
        <v>♠</v>
      </c>
      <c r="E120">
        <v>6</v>
      </c>
      <c r="F120" s="3">
        <v>3</v>
      </c>
      <c r="G120" t="str">
        <f>_xlfn.SWITCH(表1_4[[#This Row],[type]],1,"基本",2,"锦囊",3,"装备")</f>
        <v>装备</v>
      </c>
      <c r="H120">
        <v>1</v>
      </c>
      <c r="I120">
        <v>2</v>
      </c>
      <c r="J120">
        <v>0</v>
      </c>
      <c r="K120">
        <v>0</v>
      </c>
      <c r="L120">
        <v>25</v>
      </c>
      <c r="N120" s="6"/>
      <c r="O120" s="4"/>
      <c r="P120" s="4"/>
      <c r="Q120" s="4"/>
      <c r="R120" s="4"/>
      <c r="S120" s="4"/>
    </row>
    <row r="121" spans="1:19" x14ac:dyDescent="0.35">
      <c r="A121">
        <v>44</v>
      </c>
      <c r="B121" s="1" t="s">
        <v>25</v>
      </c>
      <c r="C121" s="3">
        <v>1</v>
      </c>
      <c r="D121" s="2" t="str">
        <f>_xlfn.SWITCH(表1_4[[#This Row],[color]],1,"♥",2,"♦",3,"♠",4,"♣")</f>
        <v>♥</v>
      </c>
      <c r="E121">
        <v>5</v>
      </c>
      <c r="F121" s="3">
        <v>3</v>
      </c>
      <c r="G121" t="str">
        <f>_xlfn.SWITCH(表1_4[[#This Row],[type]],1,"基本",2,"锦囊",3,"装备")</f>
        <v>装备</v>
      </c>
      <c r="H121">
        <v>1</v>
      </c>
      <c r="I121">
        <v>5</v>
      </c>
      <c r="J121">
        <v>0</v>
      </c>
      <c r="K121">
        <v>0</v>
      </c>
      <c r="L121">
        <v>30</v>
      </c>
      <c r="N121" s="6"/>
      <c r="O121" s="4"/>
      <c r="P121" s="4"/>
      <c r="Q121" s="4"/>
      <c r="R121" s="4"/>
      <c r="S121" s="4"/>
    </row>
    <row r="122" spans="1:19" x14ac:dyDescent="0.35">
      <c r="A122">
        <v>72</v>
      </c>
      <c r="B122" s="1" t="s">
        <v>30</v>
      </c>
      <c r="C122" s="3">
        <v>4</v>
      </c>
      <c r="D122" t="str">
        <f>_xlfn.SWITCH(表1_4[[#This Row],[color]],1,"♥",2,"♦",3,"♠",4,"♣")</f>
        <v>♣</v>
      </c>
      <c r="E122">
        <v>7</v>
      </c>
      <c r="F122" s="3">
        <v>2</v>
      </c>
      <c r="G122" t="str">
        <f>_xlfn.SWITCH(表1_4[[#This Row],[type]],1,"基本",2,"锦囊",3,"装备")</f>
        <v>锦囊</v>
      </c>
      <c r="H122">
        <v>0</v>
      </c>
      <c r="I122">
        <v>0</v>
      </c>
      <c r="J122">
        <v>0</v>
      </c>
      <c r="K122">
        <v>0</v>
      </c>
      <c r="L122">
        <v>9</v>
      </c>
      <c r="M122" s="5" t="s">
        <v>59</v>
      </c>
      <c r="N122" s="6"/>
      <c r="O122" s="4" t="s">
        <v>55</v>
      </c>
      <c r="P122" s="5" t="s">
        <v>54</v>
      </c>
      <c r="Q122" s="4"/>
      <c r="R122" s="4"/>
      <c r="S122" s="4"/>
    </row>
    <row r="123" spans="1:19" x14ac:dyDescent="0.35">
      <c r="A123">
        <v>91</v>
      </c>
      <c r="B123" s="1" t="s">
        <v>30</v>
      </c>
      <c r="C123" s="3">
        <v>3</v>
      </c>
      <c r="D123" t="str">
        <f>_xlfn.SWITCH(表1_4[[#This Row],[color]],1,"♥",2,"♦",3,"♠",4,"♣")</f>
        <v>♠</v>
      </c>
      <c r="E123">
        <v>13</v>
      </c>
      <c r="F123" s="3">
        <v>2</v>
      </c>
      <c r="G123" t="str">
        <f>_xlfn.SWITCH(表1_4[[#This Row],[type]],1,"基本",2,"锦囊",3,"装备")</f>
        <v>锦囊</v>
      </c>
      <c r="H123">
        <v>0</v>
      </c>
      <c r="I123">
        <v>0</v>
      </c>
      <c r="J123">
        <v>0</v>
      </c>
      <c r="K123">
        <v>0</v>
      </c>
      <c r="L123">
        <v>9</v>
      </c>
      <c r="M123" s="5" t="s">
        <v>59</v>
      </c>
      <c r="N123" s="6"/>
      <c r="O123" s="4" t="s">
        <v>55</v>
      </c>
      <c r="P123" s="5" t="s">
        <v>54</v>
      </c>
      <c r="Q123" s="4"/>
      <c r="R123" s="4"/>
      <c r="S123" s="4"/>
    </row>
    <row r="124" spans="1:19" x14ac:dyDescent="0.35">
      <c r="A124">
        <v>98</v>
      </c>
      <c r="B124" s="1" t="s">
        <v>30</v>
      </c>
      <c r="C124" s="3">
        <v>3</v>
      </c>
      <c r="D124" t="str">
        <f>_xlfn.SWITCH(表1_4[[#This Row],[color]],1,"♥",2,"♦",3,"♠",4,"♣")</f>
        <v>♠</v>
      </c>
      <c r="E124">
        <v>7</v>
      </c>
      <c r="F124" s="3">
        <v>2</v>
      </c>
      <c r="G124" t="str">
        <f>_xlfn.SWITCH(表1_4[[#This Row],[type]],1,"基本",2,"锦囊",3,"装备")</f>
        <v>锦囊</v>
      </c>
      <c r="H124">
        <v>0</v>
      </c>
      <c r="I124">
        <v>0</v>
      </c>
      <c r="J124">
        <v>0</v>
      </c>
      <c r="K124">
        <v>0</v>
      </c>
      <c r="L124">
        <v>9</v>
      </c>
      <c r="M124" s="5" t="s">
        <v>59</v>
      </c>
      <c r="N124" s="6"/>
      <c r="O124" s="4" t="s">
        <v>55</v>
      </c>
      <c r="P124" s="5" t="s">
        <v>54</v>
      </c>
      <c r="Q124" s="4"/>
      <c r="R124" s="4"/>
      <c r="S124" s="4"/>
    </row>
    <row r="125" spans="1:19" x14ac:dyDescent="0.35">
      <c r="A125">
        <v>32</v>
      </c>
      <c r="B125" s="1" t="s">
        <v>21</v>
      </c>
      <c r="C125" s="3">
        <v>1</v>
      </c>
      <c r="D125" s="2" t="str">
        <f>_xlfn.SWITCH(表1_4[[#This Row],[color]],1,"♥",2,"♦",3,"♠",4,"♣")</f>
        <v>♥</v>
      </c>
      <c r="E125">
        <v>6</v>
      </c>
      <c r="F125" s="3">
        <v>2</v>
      </c>
      <c r="G125" t="str">
        <f>_xlfn.SWITCH(表1_4[[#This Row],[type]],1,"基本",2,"锦囊",3,"装备")</f>
        <v>锦囊</v>
      </c>
      <c r="H125">
        <v>5</v>
      </c>
      <c r="I125">
        <v>0</v>
      </c>
      <c r="J125">
        <v>0</v>
      </c>
      <c r="K125">
        <v>0</v>
      </c>
      <c r="L125">
        <v>15</v>
      </c>
      <c r="M125" s="5"/>
      <c r="N125" s="6"/>
      <c r="O125" s="4" t="s">
        <v>55</v>
      </c>
      <c r="P125" s="4"/>
      <c r="Q125" s="4"/>
      <c r="R125" s="4"/>
      <c r="S125" s="4"/>
    </row>
    <row r="126" spans="1:19" x14ac:dyDescent="0.35">
      <c r="A126">
        <v>71</v>
      </c>
      <c r="B126" s="1" t="s">
        <v>21</v>
      </c>
      <c r="C126" s="3">
        <v>4</v>
      </c>
      <c r="D126" t="str">
        <f>_xlfn.SWITCH(表1_4[[#This Row],[color]],1,"♥",2,"♦",3,"♠",4,"♣")</f>
        <v>♣</v>
      </c>
      <c r="E126">
        <v>6</v>
      </c>
      <c r="F126" s="3">
        <v>2</v>
      </c>
      <c r="G126" t="str">
        <f>_xlfn.SWITCH(表1_4[[#This Row],[type]],1,"基本",2,"锦囊",3,"装备")</f>
        <v>锦囊</v>
      </c>
      <c r="H126">
        <v>5</v>
      </c>
      <c r="I126">
        <v>0</v>
      </c>
      <c r="J126">
        <v>0</v>
      </c>
      <c r="K126">
        <v>0</v>
      </c>
      <c r="L126">
        <v>15</v>
      </c>
      <c r="M126" s="5"/>
      <c r="N126" s="6"/>
      <c r="O126" s="4" t="s">
        <v>55</v>
      </c>
      <c r="P126" s="4"/>
      <c r="Q126" s="4"/>
      <c r="R126" s="4"/>
      <c r="S126" s="4"/>
    </row>
    <row r="127" spans="1:19" x14ac:dyDescent="0.35">
      <c r="A127">
        <v>97</v>
      </c>
      <c r="B127" s="1" t="s">
        <v>21</v>
      </c>
      <c r="C127" s="3">
        <v>3</v>
      </c>
      <c r="D127" t="str">
        <f>_xlfn.SWITCH(表1_4[[#This Row],[color]],1,"♥",2,"♦",3,"♠",4,"♣")</f>
        <v>♠</v>
      </c>
      <c r="E127">
        <v>6</v>
      </c>
      <c r="F127" s="3">
        <v>2</v>
      </c>
      <c r="G127" t="str">
        <f>_xlfn.SWITCH(表1_4[[#This Row],[type]],1,"基本",2,"锦囊",3,"装备")</f>
        <v>锦囊</v>
      </c>
      <c r="H127">
        <v>5</v>
      </c>
      <c r="I127">
        <v>0</v>
      </c>
      <c r="J127">
        <v>0</v>
      </c>
      <c r="K127">
        <v>0</v>
      </c>
      <c r="L127">
        <v>15</v>
      </c>
      <c r="M127" s="5"/>
      <c r="N127" s="6"/>
      <c r="O127" s="4" t="s">
        <v>55</v>
      </c>
      <c r="P127" s="4"/>
      <c r="Q127" s="4"/>
      <c r="R127" s="4"/>
      <c r="S127" s="4"/>
    </row>
    <row r="128" spans="1:19" x14ac:dyDescent="0.35">
      <c r="A128">
        <v>83</v>
      </c>
      <c r="B128" s="1" t="s">
        <v>33</v>
      </c>
      <c r="C128" s="3">
        <v>3</v>
      </c>
      <c r="D128" t="str">
        <f>_xlfn.SWITCH(表1_4[[#This Row],[color]],1,"♥",2,"♦",3,"♠",4,"♣")</f>
        <v>♠</v>
      </c>
      <c r="E128">
        <v>5</v>
      </c>
      <c r="F128" s="3">
        <v>3</v>
      </c>
      <c r="G128" t="str">
        <f>_xlfn.SWITCH(表1_4[[#This Row],[type]],1,"基本",2,"锦囊",3,"装备")</f>
        <v>装备</v>
      </c>
      <c r="H128">
        <v>3</v>
      </c>
      <c r="I128">
        <v>0</v>
      </c>
      <c r="J128">
        <v>0</v>
      </c>
      <c r="K128">
        <v>1</v>
      </c>
      <c r="L128">
        <v>20</v>
      </c>
      <c r="N128" s="6"/>
      <c r="O128" s="4"/>
      <c r="P128" s="4"/>
      <c r="Q128" s="4"/>
      <c r="R128" s="4"/>
      <c r="S128" s="4"/>
    </row>
    <row r="129" spans="1:19" x14ac:dyDescent="0.35">
      <c r="A129">
        <v>1</v>
      </c>
      <c r="B129" s="1" t="s">
        <v>9</v>
      </c>
      <c r="C129" s="3">
        <v>2</v>
      </c>
      <c r="D129" s="2" t="str">
        <f>_xlfn.SWITCH(表1_4[[#This Row],[color]],1,"♥",2,"♦",3,"♠",4,"♣")</f>
        <v>♦</v>
      </c>
      <c r="E129">
        <v>1</v>
      </c>
      <c r="F129" s="3">
        <v>2</v>
      </c>
      <c r="G129" t="str">
        <f>_xlfn.SWITCH(表1_4[[#This Row],[type]],1,"基本",2,"锦囊",3,"装备")</f>
        <v>锦囊</v>
      </c>
      <c r="H129">
        <v>0</v>
      </c>
      <c r="I129">
        <v>0</v>
      </c>
      <c r="J129">
        <v>0</v>
      </c>
      <c r="K129">
        <v>0</v>
      </c>
      <c r="L129">
        <v>8</v>
      </c>
      <c r="M129" s="5" t="s">
        <v>59</v>
      </c>
      <c r="N129" s="6"/>
      <c r="O129" s="4" t="s">
        <v>55</v>
      </c>
      <c r="P129" s="5" t="s">
        <v>54</v>
      </c>
      <c r="Q129" s="4"/>
      <c r="R129" s="4"/>
      <c r="S129" s="4"/>
    </row>
    <row r="130" spans="1:19" x14ac:dyDescent="0.35">
      <c r="A130">
        <v>53</v>
      </c>
      <c r="B130" s="1" t="s">
        <v>9</v>
      </c>
      <c r="C130" s="3">
        <v>4</v>
      </c>
      <c r="D130" t="str">
        <f>_xlfn.SWITCH(表1_4[[#This Row],[color]],1,"♥",2,"♦",3,"♠",4,"♣")</f>
        <v>♣</v>
      </c>
      <c r="E130">
        <v>1</v>
      </c>
      <c r="F130" s="3">
        <v>2</v>
      </c>
      <c r="G130" t="str">
        <f>_xlfn.SWITCH(表1_4[[#This Row],[type]],1,"基本",2,"锦囊",3,"装备")</f>
        <v>锦囊</v>
      </c>
      <c r="H130">
        <v>0</v>
      </c>
      <c r="I130">
        <v>0</v>
      </c>
      <c r="J130">
        <v>0</v>
      </c>
      <c r="K130">
        <v>0</v>
      </c>
      <c r="L130">
        <v>8</v>
      </c>
      <c r="M130" s="5" t="s">
        <v>59</v>
      </c>
      <c r="N130" s="6"/>
      <c r="O130" s="4" t="s">
        <v>55</v>
      </c>
      <c r="P130" s="5" t="s">
        <v>54</v>
      </c>
      <c r="Q130" s="4"/>
      <c r="R130" s="4"/>
      <c r="S130" s="4"/>
    </row>
    <row r="131" spans="1:19" x14ac:dyDescent="0.35">
      <c r="A131">
        <v>79</v>
      </c>
      <c r="B131" s="1" t="s">
        <v>9</v>
      </c>
      <c r="C131" s="3">
        <v>3</v>
      </c>
      <c r="D131" t="str">
        <f>_xlfn.SWITCH(表1_4[[#This Row],[color]],1,"♥",2,"♦",3,"♠",4,"♣")</f>
        <v>♠</v>
      </c>
      <c r="E131">
        <v>1</v>
      </c>
      <c r="F131" s="3">
        <v>2</v>
      </c>
      <c r="G131" t="str">
        <f>_xlfn.SWITCH(表1_4[[#This Row],[type]],1,"基本",2,"锦囊",3,"装备")</f>
        <v>锦囊</v>
      </c>
      <c r="H131">
        <v>0</v>
      </c>
      <c r="I131">
        <v>0</v>
      </c>
      <c r="J131">
        <v>0</v>
      </c>
      <c r="K131">
        <v>0</v>
      </c>
      <c r="L131">
        <v>8</v>
      </c>
      <c r="M131" s="5" t="s">
        <v>59</v>
      </c>
      <c r="N131" s="6"/>
      <c r="O131" s="4" t="s">
        <v>55</v>
      </c>
      <c r="P131" s="5" t="s">
        <v>54</v>
      </c>
      <c r="Q131" s="4"/>
      <c r="R131" s="4"/>
      <c r="S131" s="4"/>
    </row>
    <row r="132" spans="1:19" x14ac:dyDescent="0.35">
      <c r="A132">
        <v>130</v>
      </c>
      <c r="B132" s="1" t="s">
        <v>43</v>
      </c>
      <c r="C132" s="3">
        <v>2</v>
      </c>
      <c r="D132" s="2" t="str">
        <f>_xlfn.SWITCH(表1_4[[#This Row],[color]],1,"♥",2,"♦",3,"♠",4,"♣")</f>
        <v>♦</v>
      </c>
      <c r="E132">
        <v>9</v>
      </c>
      <c r="F132" s="3">
        <v>1</v>
      </c>
      <c r="G132" t="str">
        <f>_xlfn.SWITCH(表1_4[[#This Row],[type]],1,"基本",2,"锦囊",3,"装备")</f>
        <v>基本</v>
      </c>
      <c r="H132">
        <v>0</v>
      </c>
      <c r="I132">
        <v>0</v>
      </c>
      <c r="J132">
        <v>0</v>
      </c>
      <c r="K132">
        <v>0</v>
      </c>
      <c r="L132">
        <v>82</v>
      </c>
      <c r="N132" s="6"/>
      <c r="O132" s="4"/>
      <c r="P132" s="4"/>
      <c r="Q132" s="4"/>
      <c r="R132" s="4"/>
      <c r="S132" s="4" t="s">
        <v>43</v>
      </c>
    </row>
    <row r="133" spans="1:19" x14ac:dyDescent="0.35">
      <c r="A133">
        <v>137</v>
      </c>
      <c r="B133" s="1" t="s">
        <v>43</v>
      </c>
      <c r="C133" s="3">
        <v>3</v>
      </c>
      <c r="D133" t="str">
        <f>_xlfn.SWITCH(表1_4[[#This Row],[color]],1,"♥",2,"♦",3,"♠",4,"♣")</f>
        <v>♠</v>
      </c>
      <c r="E133">
        <v>3</v>
      </c>
      <c r="F133" s="3">
        <v>1</v>
      </c>
      <c r="G133" t="str">
        <f>_xlfn.SWITCH(表1_4[[#This Row],[type]],1,"基本",2,"锦囊",3,"装备")</f>
        <v>基本</v>
      </c>
      <c r="H133">
        <v>0</v>
      </c>
      <c r="I133">
        <v>0</v>
      </c>
      <c r="J133">
        <v>0</v>
      </c>
      <c r="K133">
        <v>0</v>
      </c>
      <c r="L133">
        <v>82</v>
      </c>
      <c r="N133" s="6"/>
    </row>
    <row r="134" spans="1:19" x14ac:dyDescent="0.35">
      <c r="A134">
        <v>143</v>
      </c>
      <c r="B134" s="1" t="s">
        <v>43</v>
      </c>
      <c r="C134" s="3">
        <v>3</v>
      </c>
      <c r="D134" t="str">
        <f>_xlfn.SWITCH(表1_4[[#This Row],[color]],1,"♥",2,"♦",3,"♠",4,"♣")</f>
        <v>♠</v>
      </c>
      <c r="E134">
        <v>9</v>
      </c>
      <c r="F134" s="3">
        <v>1</v>
      </c>
      <c r="G134" t="str">
        <f>_xlfn.SWITCH(表1_4[[#This Row],[type]],1,"基本",2,"锦囊",3,"装备")</f>
        <v>基本</v>
      </c>
      <c r="H134">
        <v>0</v>
      </c>
      <c r="I134">
        <v>0</v>
      </c>
      <c r="J134">
        <v>0</v>
      </c>
      <c r="K134">
        <v>0</v>
      </c>
      <c r="L134">
        <v>82</v>
      </c>
      <c r="N134" s="6"/>
    </row>
    <row r="135" spans="1:19" x14ac:dyDescent="0.35">
      <c r="A135">
        <v>150</v>
      </c>
      <c r="B135" s="1" t="s">
        <v>43</v>
      </c>
      <c r="C135" s="3">
        <v>4</v>
      </c>
      <c r="D135" t="str">
        <f>_xlfn.SWITCH(表1_4[[#This Row],[color]],1,"♥",2,"♦",3,"♠",4,"♣")</f>
        <v>♣</v>
      </c>
      <c r="E135">
        <v>3</v>
      </c>
      <c r="F135" s="3">
        <v>1</v>
      </c>
      <c r="G135" t="str">
        <f>_xlfn.SWITCH(表1_4[[#This Row],[type]],1,"基本",2,"锦囊",3,"装备")</f>
        <v>基本</v>
      </c>
      <c r="H135">
        <v>0</v>
      </c>
      <c r="I135">
        <v>0</v>
      </c>
      <c r="J135">
        <v>0</v>
      </c>
      <c r="K135">
        <v>0</v>
      </c>
      <c r="L135">
        <v>82</v>
      </c>
      <c r="N135" s="6"/>
    </row>
    <row r="136" spans="1:19" x14ac:dyDescent="0.35">
      <c r="A136">
        <v>156</v>
      </c>
      <c r="B136" s="1" t="s">
        <v>43</v>
      </c>
      <c r="C136" s="3">
        <v>4</v>
      </c>
      <c r="D136" t="str">
        <f>_xlfn.SWITCH(表1_4[[#This Row],[color]],1,"♥",2,"♦",3,"♠",4,"♣")</f>
        <v>♣</v>
      </c>
      <c r="E136">
        <v>9</v>
      </c>
      <c r="F136" s="3">
        <v>1</v>
      </c>
      <c r="G136" t="str">
        <f>_xlfn.SWITCH(表1_4[[#This Row],[type]],1,"基本",2,"锦囊",3,"装备")</f>
        <v>基本</v>
      </c>
      <c r="H136">
        <v>0</v>
      </c>
      <c r="I136">
        <v>0</v>
      </c>
      <c r="J136">
        <v>0</v>
      </c>
      <c r="K136">
        <v>0</v>
      </c>
      <c r="L136">
        <v>82</v>
      </c>
      <c r="N136" s="6"/>
    </row>
    <row r="137" spans="1:19" x14ac:dyDescent="0.35">
      <c r="A137">
        <v>77</v>
      </c>
      <c r="B137" s="1" t="s">
        <v>31</v>
      </c>
      <c r="C137" s="3">
        <v>4</v>
      </c>
      <c r="D137" t="str">
        <f>_xlfn.SWITCH(表1_4[[#This Row],[color]],1,"♥",2,"♦",3,"♠",4,"♣")</f>
        <v>♣</v>
      </c>
      <c r="E137">
        <v>12</v>
      </c>
      <c r="F137" s="3">
        <v>2</v>
      </c>
      <c r="G137" t="str">
        <f>_xlfn.SWITCH(表1_4[[#This Row],[type]],1,"基本",2,"锦囊",3,"装备")</f>
        <v>锦囊</v>
      </c>
      <c r="H137">
        <v>0</v>
      </c>
      <c r="I137">
        <v>0</v>
      </c>
      <c r="J137">
        <v>0</v>
      </c>
      <c r="K137">
        <v>0</v>
      </c>
      <c r="L137">
        <v>14</v>
      </c>
      <c r="M137" s="5"/>
      <c r="N137" s="6"/>
      <c r="O137" s="4" t="s">
        <v>55</v>
      </c>
      <c r="P137" s="4"/>
      <c r="Q137" s="4"/>
      <c r="R137" s="4"/>
      <c r="S137" s="4"/>
    </row>
    <row r="138" spans="1:19" x14ac:dyDescent="0.35">
      <c r="A138">
        <v>78</v>
      </c>
      <c r="B138" s="1" t="s">
        <v>31</v>
      </c>
      <c r="C138" s="3">
        <v>4</v>
      </c>
      <c r="D138" t="str">
        <f>_xlfn.SWITCH(表1_4[[#This Row],[color]],1,"♥",2,"♦",3,"♠",4,"♣")</f>
        <v>♣</v>
      </c>
      <c r="E138">
        <v>13</v>
      </c>
      <c r="F138" s="3">
        <v>2</v>
      </c>
      <c r="G138" t="str">
        <f>_xlfn.SWITCH(表1_4[[#This Row],[type]],1,"基本",2,"锦囊",3,"装备")</f>
        <v>锦囊</v>
      </c>
      <c r="H138">
        <v>0</v>
      </c>
      <c r="I138">
        <v>0</v>
      </c>
      <c r="J138">
        <v>0</v>
      </c>
      <c r="K138">
        <v>0</v>
      </c>
      <c r="L138">
        <v>14</v>
      </c>
      <c r="M138" s="5"/>
      <c r="N138" s="6"/>
      <c r="O138" s="4" t="s">
        <v>55</v>
      </c>
      <c r="P138" s="4"/>
      <c r="Q138" s="4"/>
      <c r="R138" s="4"/>
      <c r="S138" s="4"/>
    </row>
    <row r="139" spans="1:19" x14ac:dyDescent="0.35">
      <c r="A139">
        <v>110</v>
      </c>
      <c r="B139" s="1" t="s">
        <v>41</v>
      </c>
      <c r="C139" s="3">
        <v>1</v>
      </c>
      <c r="D139" s="2" t="str">
        <f>_xlfn.SWITCH(表1_4[[#This Row],[color]],1,"♥",2,"♦",3,"♠",4,"♣")</f>
        <v>♥</v>
      </c>
      <c r="E139">
        <v>2</v>
      </c>
      <c r="F139" s="3">
        <v>2</v>
      </c>
      <c r="G139" t="str">
        <f>_xlfn.SWITCH(表1_4[[#This Row],[type]],1,"基本",2,"锦囊",3,"装备")</f>
        <v>锦囊</v>
      </c>
      <c r="H139">
        <v>0</v>
      </c>
      <c r="I139">
        <v>0</v>
      </c>
      <c r="J139">
        <v>0</v>
      </c>
      <c r="K139">
        <v>0</v>
      </c>
      <c r="L139">
        <v>83</v>
      </c>
      <c r="M139" s="5" t="s">
        <v>59</v>
      </c>
      <c r="N139" s="6"/>
      <c r="O139" s="4" t="s">
        <v>55</v>
      </c>
      <c r="P139" s="5" t="s">
        <v>54</v>
      </c>
      <c r="Q139" s="4"/>
      <c r="R139" s="4"/>
      <c r="S139" s="4"/>
    </row>
    <row r="140" spans="1:19" x14ac:dyDescent="0.35">
      <c r="A140">
        <v>111</v>
      </c>
      <c r="B140" s="1" t="s">
        <v>41</v>
      </c>
      <c r="C140" s="3">
        <v>1</v>
      </c>
      <c r="D140" s="2" t="str">
        <f>_xlfn.SWITCH(表1_4[[#This Row],[color]],1,"♥",2,"♦",3,"♠",4,"♣")</f>
        <v>♥</v>
      </c>
      <c r="E140">
        <v>3</v>
      </c>
      <c r="F140" s="3">
        <v>2</v>
      </c>
      <c r="G140" t="str">
        <f>_xlfn.SWITCH(表1_4[[#This Row],[type]],1,"基本",2,"锦囊",3,"装备")</f>
        <v>锦囊</v>
      </c>
      <c r="H140">
        <v>0</v>
      </c>
      <c r="I140">
        <v>0</v>
      </c>
      <c r="J140">
        <v>0</v>
      </c>
      <c r="K140">
        <v>0</v>
      </c>
      <c r="L140">
        <v>83</v>
      </c>
      <c r="M140" s="5" t="s">
        <v>59</v>
      </c>
      <c r="N140" s="6"/>
      <c r="O140" s="4" t="s">
        <v>55</v>
      </c>
      <c r="P140" s="5" t="s">
        <v>54</v>
      </c>
      <c r="Q140" s="4"/>
      <c r="R140" s="4"/>
      <c r="S140" s="4"/>
    </row>
    <row r="141" spans="1:19" x14ac:dyDescent="0.35">
      <c r="A141">
        <v>133</v>
      </c>
      <c r="B141" s="1" t="s">
        <v>41</v>
      </c>
      <c r="C141" s="3">
        <v>2</v>
      </c>
      <c r="D141" s="2" t="str">
        <f>_xlfn.SWITCH(表1_4[[#This Row],[color]],1,"♥",2,"♦",3,"♠",4,"♣")</f>
        <v>♦</v>
      </c>
      <c r="E141">
        <v>12</v>
      </c>
      <c r="F141" s="3">
        <v>2</v>
      </c>
      <c r="G141" t="str">
        <f>_xlfn.SWITCH(表1_4[[#This Row],[type]],1,"基本",2,"锦囊",3,"装备")</f>
        <v>锦囊</v>
      </c>
      <c r="H141">
        <v>0</v>
      </c>
      <c r="I141">
        <v>0</v>
      </c>
      <c r="J141">
        <v>0</v>
      </c>
      <c r="K141">
        <v>0</v>
      </c>
      <c r="L141">
        <v>83</v>
      </c>
      <c r="M141" s="5" t="s">
        <v>59</v>
      </c>
      <c r="N141" s="6"/>
    </row>
    <row r="142" spans="1:19" x14ac:dyDescent="0.35">
      <c r="A142">
        <v>134</v>
      </c>
      <c r="B142" s="1" t="s">
        <v>44</v>
      </c>
      <c r="C142" s="3">
        <v>2</v>
      </c>
      <c r="D142" s="2" t="str">
        <f>_xlfn.SWITCH(表1_4[[#This Row],[color]],1,"♥",2,"♦",3,"♠",4,"♣")</f>
        <v>♦</v>
      </c>
      <c r="E142">
        <v>13</v>
      </c>
      <c r="F142" s="3">
        <v>3</v>
      </c>
      <c r="G142" t="str">
        <f>_xlfn.SWITCH(表1_4[[#This Row],[type]],1,"基本",2,"锦囊",3,"装备")</f>
        <v>装备</v>
      </c>
      <c r="H142">
        <v>3</v>
      </c>
      <c r="I142">
        <v>0</v>
      </c>
      <c r="J142">
        <v>0</v>
      </c>
      <c r="K142">
        <v>1</v>
      </c>
      <c r="L142">
        <v>90</v>
      </c>
      <c r="N142" s="6"/>
    </row>
    <row r="143" spans="1:19" x14ac:dyDescent="0.35">
      <c r="A143">
        <v>108</v>
      </c>
      <c r="B143" s="1" t="s">
        <v>40</v>
      </c>
      <c r="C143" s="3">
        <v>3</v>
      </c>
      <c r="D143" t="str">
        <f>_xlfn.SWITCH(表1_4[[#This Row],[color]],1,"♥",2,"♦",3,"♠",4,"♣")</f>
        <v>♠</v>
      </c>
      <c r="E143">
        <v>2</v>
      </c>
      <c r="F143" s="3">
        <v>3</v>
      </c>
      <c r="G143" t="str">
        <f>_xlfn.SWITCH(表1_4[[#This Row],[type]],1,"基本",2,"锦囊",3,"装备")</f>
        <v>装备</v>
      </c>
      <c r="H143">
        <v>1</v>
      </c>
      <c r="I143">
        <v>2</v>
      </c>
      <c r="J143">
        <v>0</v>
      </c>
      <c r="K143">
        <v>0</v>
      </c>
      <c r="L143">
        <v>201</v>
      </c>
      <c r="N143" s="6"/>
      <c r="O143" s="4"/>
      <c r="P143" s="4"/>
      <c r="Q143" s="4"/>
      <c r="R143" s="4"/>
      <c r="S143" s="4"/>
    </row>
    <row r="144" spans="1:19" x14ac:dyDescent="0.35">
      <c r="A144">
        <v>38</v>
      </c>
      <c r="B144" s="1" t="s">
        <v>23</v>
      </c>
      <c r="C144" s="3">
        <v>1</v>
      </c>
      <c r="D144" s="2" t="str">
        <f>_xlfn.SWITCH(表1_4[[#This Row],[color]],1,"♥",2,"♦",3,"♠",4,"♣")</f>
        <v>♥</v>
      </c>
      <c r="E144">
        <v>12</v>
      </c>
      <c r="F144" s="3">
        <v>2</v>
      </c>
      <c r="G144" t="str">
        <f>_xlfn.SWITCH(表1_4[[#This Row],[type]],1,"基本",2,"锦囊",3,"装备")</f>
        <v>锦囊</v>
      </c>
      <c r="H144">
        <v>0</v>
      </c>
      <c r="I144">
        <v>0</v>
      </c>
      <c r="J144">
        <v>0</v>
      </c>
      <c r="K144">
        <v>0</v>
      </c>
      <c r="L144">
        <v>5</v>
      </c>
      <c r="M144" s="5"/>
      <c r="N144" s="6" t="s">
        <v>56</v>
      </c>
      <c r="O144" s="4" t="s">
        <v>55</v>
      </c>
      <c r="P144" s="5" t="s">
        <v>54</v>
      </c>
      <c r="Q144" s="4"/>
      <c r="R144" s="4"/>
      <c r="S144" s="4"/>
    </row>
    <row r="145" spans="1:19" x14ac:dyDescent="0.35">
      <c r="A145">
        <v>68</v>
      </c>
      <c r="B145" s="1" t="s">
        <v>23</v>
      </c>
      <c r="C145" s="3">
        <v>4</v>
      </c>
      <c r="D145" t="str">
        <f>_xlfn.SWITCH(表1_4[[#This Row],[color]],1,"♥",2,"♦",3,"♠",4,"♣")</f>
        <v>♣</v>
      </c>
      <c r="E145">
        <v>3</v>
      </c>
      <c r="F145" s="3">
        <v>2</v>
      </c>
      <c r="G145" t="str">
        <f>_xlfn.SWITCH(表1_4[[#This Row],[type]],1,"基本",2,"锦囊",3,"装备")</f>
        <v>锦囊</v>
      </c>
      <c r="H145">
        <v>0</v>
      </c>
      <c r="I145">
        <v>0</v>
      </c>
      <c r="J145">
        <v>0</v>
      </c>
      <c r="K145">
        <v>0</v>
      </c>
      <c r="L145">
        <v>5</v>
      </c>
      <c r="M145" s="5"/>
      <c r="N145" s="6" t="s">
        <v>56</v>
      </c>
      <c r="O145" s="4" t="s">
        <v>55</v>
      </c>
      <c r="P145" s="5" t="s">
        <v>54</v>
      </c>
      <c r="Q145" s="4"/>
      <c r="R145" s="4"/>
      <c r="S145" s="4"/>
    </row>
    <row r="146" spans="1:19" x14ac:dyDescent="0.35">
      <c r="A146">
        <v>69</v>
      </c>
      <c r="B146" s="1" t="s">
        <v>23</v>
      </c>
      <c r="C146" s="3">
        <v>4</v>
      </c>
      <c r="D146" t="str">
        <f>_xlfn.SWITCH(表1_4[[#This Row],[color]],1,"♥",2,"♦",3,"♠",4,"♣")</f>
        <v>♣</v>
      </c>
      <c r="E146">
        <v>4</v>
      </c>
      <c r="F146" s="3">
        <v>2</v>
      </c>
      <c r="G146" t="str">
        <f>_xlfn.SWITCH(表1_4[[#This Row],[type]],1,"基本",2,"锦囊",3,"装备")</f>
        <v>锦囊</v>
      </c>
      <c r="H146">
        <v>0</v>
      </c>
      <c r="I146">
        <v>0</v>
      </c>
      <c r="J146">
        <v>0</v>
      </c>
      <c r="K146">
        <v>0</v>
      </c>
      <c r="L146">
        <v>5</v>
      </c>
      <c r="M146" s="5"/>
      <c r="N146" s="6" t="s">
        <v>56</v>
      </c>
      <c r="O146" s="4" t="s">
        <v>55</v>
      </c>
      <c r="P146" s="5" t="s">
        <v>54</v>
      </c>
      <c r="Q146" s="4"/>
      <c r="R146" s="4"/>
      <c r="S146" s="4"/>
    </row>
    <row r="147" spans="1:19" x14ac:dyDescent="0.35">
      <c r="A147">
        <v>90</v>
      </c>
      <c r="B147" s="1" t="s">
        <v>23</v>
      </c>
      <c r="C147" s="3">
        <v>3</v>
      </c>
      <c r="D147" t="str">
        <f>_xlfn.SWITCH(表1_4[[#This Row],[color]],1,"♥",2,"♦",3,"♠",4,"♣")</f>
        <v>♠</v>
      </c>
      <c r="E147">
        <v>12</v>
      </c>
      <c r="F147" s="3">
        <v>2</v>
      </c>
      <c r="G147" t="str">
        <f>_xlfn.SWITCH(表1_4[[#This Row],[type]],1,"基本",2,"锦囊",3,"装备")</f>
        <v>锦囊</v>
      </c>
      <c r="H147">
        <v>0</v>
      </c>
      <c r="I147">
        <v>0</v>
      </c>
      <c r="J147">
        <v>0</v>
      </c>
      <c r="K147">
        <v>0</v>
      </c>
      <c r="L147">
        <v>5</v>
      </c>
      <c r="M147" s="5"/>
      <c r="N147" s="6" t="s">
        <v>56</v>
      </c>
      <c r="O147" s="4" t="s">
        <v>55</v>
      </c>
      <c r="P147" s="5" t="s">
        <v>54</v>
      </c>
      <c r="Q147" s="4"/>
      <c r="R147" s="4"/>
      <c r="S147" s="4"/>
    </row>
    <row r="148" spans="1:19" x14ac:dyDescent="0.35">
      <c r="A148">
        <v>94</v>
      </c>
      <c r="B148" s="1" t="s">
        <v>23</v>
      </c>
      <c r="C148" s="3">
        <v>3</v>
      </c>
      <c r="D148" t="str">
        <f>_xlfn.SWITCH(表1_4[[#This Row],[color]],1,"♥",2,"♦",3,"♠",4,"♣")</f>
        <v>♠</v>
      </c>
      <c r="E148">
        <v>3</v>
      </c>
      <c r="F148" s="3">
        <v>2</v>
      </c>
      <c r="G148" t="str">
        <f>_xlfn.SWITCH(表1_4[[#This Row],[type]],1,"基本",2,"锦囊",3,"装备")</f>
        <v>锦囊</v>
      </c>
      <c r="H148">
        <v>0</v>
      </c>
      <c r="I148">
        <v>0</v>
      </c>
      <c r="J148">
        <v>0</v>
      </c>
      <c r="K148">
        <v>0</v>
      </c>
      <c r="L148">
        <v>5</v>
      </c>
      <c r="M148" s="5"/>
      <c r="N148" s="6" t="s">
        <v>56</v>
      </c>
      <c r="O148" s="4" t="s">
        <v>55</v>
      </c>
      <c r="P148" s="5" t="s">
        <v>54</v>
      </c>
      <c r="Q148" s="4"/>
      <c r="R148" s="4"/>
      <c r="S148" s="4"/>
    </row>
    <row r="149" spans="1:19" x14ac:dyDescent="0.35">
      <c r="A149">
        <v>95</v>
      </c>
      <c r="B149" s="1" t="s">
        <v>23</v>
      </c>
      <c r="C149" s="3">
        <v>3</v>
      </c>
      <c r="D149" t="str">
        <f>_xlfn.SWITCH(表1_4[[#This Row],[color]],1,"♥",2,"♦",3,"♠",4,"♣")</f>
        <v>♠</v>
      </c>
      <c r="E149">
        <v>4</v>
      </c>
      <c r="F149" s="3">
        <v>2</v>
      </c>
      <c r="G149" t="str">
        <f>_xlfn.SWITCH(表1_4[[#This Row],[type]],1,"基本",2,"锦囊",3,"装备")</f>
        <v>锦囊</v>
      </c>
      <c r="H149">
        <v>0</v>
      </c>
      <c r="I149">
        <v>0</v>
      </c>
      <c r="J149">
        <v>0</v>
      </c>
      <c r="K149">
        <v>0</v>
      </c>
      <c r="L149">
        <v>5</v>
      </c>
      <c r="M149" s="5"/>
      <c r="N149" s="6" t="s">
        <v>56</v>
      </c>
      <c r="O149" s="4" t="s">
        <v>55</v>
      </c>
      <c r="P149" s="5" t="s">
        <v>54</v>
      </c>
      <c r="Q149" s="4"/>
      <c r="R149" s="4"/>
      <c r="S149" s="4"/>
    </row>
    <row r="150" spans="1:19" x14ac:dyDescent="0.35">
      <c r="A150">
        <v>5</v>
      </c>
      <c r="B150" s="1" t="s">
        <v>12</v>
      </c>
      <c r="C150" s="3">
        <v>2</v>
      </c>
      <c r="D150" s="2" t="str">
        <f>_xlfn.SWITCH(表1_4[[#This Row],[color]],1,"♥",2,"♦",3,"♠",4,"♣")</f>
        <v>♦</v>
      </c>
      <c r="E150">
        <v>5</v>
      </c>
      <c r="F150" s="3">
        <v>3</v>
      </c>
      <c r="G150" t="str">
        <f>_xlfn.SWITCH(表1_4[[#This Row],[type]],1,"基本",2,"锦囊",3,"装备")</f>
        <v>装备</v>
      </c>
      <c r="H150">
        <v>1</v>
      </c>
      <c r="I150">
        <v>3</v>
      </c>
      <c r="J150">
        <v>0</v>
      </c>
      <c r="K150">
        <v>0</v>
      </c>
      <c r="L150">
        <v>28</v>
      </c>
      <c r="N150" s="6"/>
      <c r="O150" s="4"/>
      <c r="P150" s="4"/>
      <c r="Q150" s="4"/>
      <c r="R150" s="4"/>
      <c r="S150" s="4"/>
    </row>
    <row r="151" spans="1:19" x14ac:dyDescent="0.35">
      <c r="A151">
        <v>135</v>
      </c>
      <c r="B151" s="1" t="s">
        <v>45</v>
      </c>
      <c r="C151" s="3">
        <v>3</v>
      </c>
      <c r="D151" t="str">
        <f>_xlfn.SWITCH(表1_4[[#This Row],[color]],1,"♥",2,"♦",3,"♠",4,"♣")</f>
        <v>♠</v>
      </c>
      <c r="E151">
        <v>1</v>
      </c>
      <c r="F151" s="3">
        <v>3</v>
      </c>
      <c r="G151" t="str">
        <f>_xlfn.SWITCH(表1_4[[#This Row],[type]],1,"基本",2,"锦囊",3,"装备")</f>
        <v>装备</v>
      </c>
      <c r="H151">
        <v>1</v>
      </c>
      <c r="I151">
        <v>2</v>
      </c>
      <c r="J151">
        <v>0</v>
      </c>
      <c r="K151">
        <v>0</v>
      </c>
      <c r="L151">
        <v>86</v>
      </c>
      <c r="N151" s="6"/>
    </row>
    <row r="152" spans="1:19" x14ac:dyDescent="0.35">
      <c r="A152">
        <v>12</v>
      </c>
      <c r="B152" s="1" t="s">
        <v>14</v>
      </c>
      <c r="C152" s="3">
        <v>2</v>
      </c>
      <c r="D152" s="2" t="str">
        <f>_xlfn.SWITCH(表1_4[[#This Row],[color]],1,"♥",2,"♦",3,"♠",4,"♣")</f>
        <v>♦</v>
      </c>
      <c r="E152">
        <v>12</v>
      </c>
      <c r="F152" s="3">
        <v>3</v>
      </c>
      <c r="G152" t="str">
        <f>_xlfn.SWITCH(表1_4[[#This Row],[type]],1,"基本",2,"锦囊",3,"装备")</f>
        <v>装备</v>
      </c>
      <c r="H152">
        <v>1</v>
      </c>
      <c r="I152">
        <v>4</v>
      </c>
      <c r="J152">
        <v>0</v>
      </c>
      <c r="K152">
        <v>0</v>
      </c>
      <c r="L152">
        <v>29</v>
      </c>
      <c r="N152" s="6"/>
      <c r="O152" s="4"/>
      <c r="P152" s="4"/>
      <c r="Q152" s="4"/>
      <c r="R152" s="4"/>
      <c r="S152" s="4"/>
    </row>
    <row r="153" spans="1:19" x14ac:dyDescent="0.35">
      <c r="A153">
        <v>70</v>
      </c>
      <c r="B153" s="1" t="s">
        <v>29</v>
      </c>
      <c r="C153" s="3">
        <v>4</v>
      </c>
      <c r="D153" t="str">
        <f>_xlfn.SWITCH(表1_4[[#This Row],[color]],1,"♥",2,"♦",3,"♠",4,"♣")</f>
        <v>♣</v>
      </c>
      <c r="E153">
        <v>5</v>
      </c>
      <c r="F153" s="3">
        <v>3</v>
      </c>
      <c r="G153" t="str">
        <f>_xlfn.SWITCH(表1_4[[#This Row],[type]],1,"基本",2,"锦囊",3,"装备")</f>
        <v>装备</v>
      </c>
      <c r="H153">
        <v>3</v>
      </c>
      <c r="I153">
        <v>0</v>
      </c>
      <c r="J153">
        <v>0</v>
      </c>
      <c r="K153">
        <v>1</v>
      </c>
      <c r="L153">
        <v>21</v>
      </c>
      <c r="N153" s="6"/>
      <c r="O153" s="4"/>
      <c r="P153" s="4"/>
      <c r="Q153" s="4"/>
      <c r="R153" s="4"/>
      <c r="S153" s="4"/>
    </row>
    <row r="154" spans="1:19" x14ac:dyDescent="0.35">
      <c r="A154">
        <v>104</v>
      </c>
      <c r="B154" s="1" t="s">
        <v>38</v>
      </c>
      <c r="C154" s="3">
        <v>3</v>
      </c>
      <c r="D154" t="str">
        <f>_xlfn.SWITCH(表1_4[[#This Row],[color]],1,"♥",2,"♦",3,"♠",4,"♣")</f>
        <v>♠</v>
      </c>
      <c r="E154">
        <v>13</v>
      </c>
      <c r="F154" s="3">
        <v>3</v>
      </c>
      <c r="G154" t="str">
        <f>_xlfn.SWITCH(表1_4[[#This Row],[type]],1,"基本",2,"锦囊",3,"装备")</f>
        <v>装备</v>
      </c>
      <c r="H154">
        <v>4</v>
      </c>
      <c r="I154">
        <v>0</v>
      </c>
      <c r="J154">
        <v>1</v>
      </c>
      <c r="K154">
        <v>0</v>
      </c>
      <c r="L154">
        <v>19</v>
      </c>
      <c r="N154" s="6"/>
      <c r="O154" s="4"/>
      <c r="P154" s="4"/>
      <c r="Q154" s="4"/>
      <c r="R154" s="4"/>
      <c r="S154" s="4"/>
    </row>
    <row r="155" spans="1:19" x14ac:dyDescent="0.35">
      <c r="A155">
        <v>80</v>
      </c>
      <c r="B155" s="1" t="s">
        <v>32</v>
      </c>
      <c r="C155" s="3">
        <v>3</v>
      </c>
      <c r="D155" t="str">
        <f>_xlfn.SWITCH(表1_4[[#This Row],[color]],1,"♥",2,"♦",3,"♠",4,"♣")</f>
        <v>♠</v>
      </c>
      <c r="E155">
        <v>2</v>
      </c>
      <c r="F155" s="3">
        <v>3</v>
      </c>
      <c r="G155" t="str">
        <f>_xlfn.SWITCH(表1_4[[#This Row],[type]],1,"基本",2,"锦囊",3,"装备")</f>
        <v>装备</v>
      </c>
      <c r="H155">
        <v>1</v>
      </c>
      <c r="I155">
        <v>2</v>
      </c>
      <c r="J155">
        <v>0</v>
      </c>
      <c r="K155">
        <v>0</v>
      </c>
      <c r="L155">
        <v>24</v>
      </c>
      <c r="N155" s="6"/>
      <c r="O155" s="4"/>
      <c r="P155" s="4"/>
      <c r="Q155" s="4"/>
      <c r="R155" s="4"/>
      <c r="S155" s="4"/>
    </row>
    <row r="156" spans="1:19" x14ac:dyDescent="0.35">
      <c r="A156">
        <v>31</v>
      </c>
      <c r="B156" s="1" t="s">
        <v>20</v>
      </c>
      <c r="C156" s="3">
        <v>1</v>
      </c>
      <c r="D156" s="2" t="str">
        <f>_xlfn.SWITCH(表1_4[[#This Row],[color]],1,"♥",2,"♦",3,"♠",4,"♣")</f>
        <v>♥</v>
      </c>
      <c r="E156">
        <v>5</v>
      </c>
      <c r="F156" s="3">
        <v>3</v>
      </c>
      <c r="G156" t="str">
        <f>_xlfn.SWITCH(表1_4[[#This Row],[type]],1,"基本",2,"锦囊",3,"装备")</f>
        <v>装备</v>
      </c>
      <c r="H156">
        <v>4</v>
      </c>
      <c r="I156">
        <v>0</v>
      </c>
      <c r="J156">
        <v>1</v>
      </c>
      <c r="K156">
        <v>0</v>
      </c>
      <c r="L156">
        <v>17</v>
      </c>
      <c r="N156" s="6"/>
      <c r="O156" s="4"/>
      <c r="P156" s="4"/>
      <c r="Q156" s="4"/>
      <c r="R156" s="4"/>
      <c r="S156" s="4"/>
    </row>
    <row r="157" spans="1:19" x14ac:dyDescent="0.35">
      <c r="A157">
        <v>144</v>
      </c>
      <c r="B157" s="1" t="s">
        <v>47</v>
      </c>
      <c r="C157" s="3">
        <v>3</v>
      </c>
      <c r="D157" t="str">
        <f>_xlfn.SWITCH(表1_4[[#This Row],[color]],1,"♥",2,"♦",3,"♠",4,"♣")</f>
        <v>♠</v>
      </c>
      <c r="E157">
        <v>10</v>
      </c>
      <c r="F157" s="3">
        <v>2</v>
      </c>
      <c r="G157" t="str">
        <f>_xlfn.SWITCH(表1_4[[#This Row],[type]],1,"基本",2,"锦囊",3,"装备")</f>
        <v>锦囊</v>
      </c>
      <c r="H157">
        <v>5</v>
      </c>
      <c r="I157">
        <v>0</v>
      </c>
      <c r="J157">
        <v>0</v>
      </c>
      <c r="K157">
        <v>0</v>
      </c>
      <c r="L157">
        <v>84</v>
      </c>
      <c r="N157" s="6"/>
    </row>
    <row r="158" spans="1:19" x14ac:dyDescent="0.35">
      <c r="A158">
        <v>151</v>
      </c>
      <c r="B158" s="1" t="s">
        <v>47</v>
      </c>
      <c r="C158" s="3">
        <v>4</v>
      </c>
      <c r="D158" t="str">
        <f>_xlfn.SWITCH(表1_4[[#This Row],[color]],1,"♥",2,"♦",3,"♠",4,"♣")</f>
        <v>♣</v>
      </c>
      <c r="E158">
        <v>4</v>
      </c>
      <c r="F158" s="3">
        <v>2</v>
      </c>
      <c r="G158" t="str">
        <f>_xlfn.SWITCH(表1_4[[#This Row],[type]],1,"基本",2,"锦囊",3,"装备")</f>
        <v>锦囊</v>
      </c>
      <c r="H158">
        <v>5</v>
      </c>
      <c r="I158">
        <v>0</v>
      </c>
      <c r="J158">
        <v>0</v>
      </c>
      <c r="K158">
        <v>0</v>
      </c>
      <c r="L158">
        <v>84</v>
      </c>
      <c r="N158" s="6"/>
    </row>
    <row r="159" spans="1:19" x14ac:dyDescent="0.35">
      <c r="A159">
        <v>148</v>
      </c>
      <c r="B159" s="1" t="s">
        <v>49</v>
      </c>
      <c r="C159" s="3">
        <v>4</v>
      </c>
      <c r="D159" t="str">
        <f>_xlfn.SWITCH(表1_4[[#This Row],[color]],1,"♥",2,"♦",3,"♠",4,"♣")</f>
        <v>♣</v>
      </c>
      <c r="E159">
        <v>1</v>
      </c>
      <c r="F159" s="3">
        <v>3</v>
      </c>
      <c r="G159" t="str">
        <f>_xlfn.SWITCH(表1_4[[#This Row],[type]],1,"基本",2,"锦囊",3,"装备")</f>
        <v>装备</v>
      </c>
      <c r="H159">
        <v>2</v>
      </c>
      <c r="I159">
        <v>0</v>
      </c>
      <c r="J159">
        <v>0</v>
      </c>
      <c r="K159">
        <v>0</v>
      </c>
      <c r="L159">
        <v>89</v>
      </c>
      <c r="N159" s="6"/>
    </row>
    <row r="160" spans="1:19" x14ac:dyDescent="0.35">
      <c r="A160">
        <v>67</v>
      </c>
      <c r="B160" s="1" t="s">
        <v>28</v>
      </c>
      <c r="C160" s="3">
        <v>4</v>
      </c>
      <c r="D160" t="str">
        <f>_xlfn.SWITCH(表1_4[[#This Row],[color]],1,"♥",2,"♦",3,"♠",4,"♣")</f>
        <v>♣</v>
      </c>
      <c r="E160">
        <v>2</v>
      </c>
      <c r="F160" s="3">
        <v>3</v>
      </c>
      <c r="G160" t="str">
        <f>_xlfn.SWITCH(表1_4[[#This Row],[type]],1,"基本",2,"锦囊",3,"装备")</f>
        <v>装备</v>
      </c>
      <c r="H160">
        <v>2</v>
      </c>
      <c r="I160">
        <v>0</v>
      </c>
      <c r="J160">
        <v>0</v>
      </c>
      <c r="K160">
        <v>0</v>
      </c>
      <c r="L160">
        <v>16</v>
      </c>
      <c r="N160" s="6"/>
      <c r="O160" s="4"/>
      <c r="P160" s="4"/>
      <c r="Q160" s="4"/>
      <c r="R160" s="4"/>
      <c r="S160" s="4"/>
    </row>
    <row r="161" spans="1:19" x14ac:dyDescent="0.35">
      <c r="A161">
        <v>93</v>
      </c>
      <c r="B161" s="1" t="s">
        <v>28</v>
      </c>
      <c r="C161" s="3">
        <v>3</v>
      </c>
      <c r="D161" t="str">
        <f>_xlfn.SWITCH(表1_4[[#This Row],[color]],1,"♥",2,"♦",3,"♠",4,"♣")</f>
        <v>♠</v>
      </c>
      <c r="E161">
        <v>2</v>
      </c>
      <c r="F161" s="3">
        <v>3</v>
      </c>
      <c r="G161" t="str">
        <f>_xlfn.SWITCH(表1_4[[#This Row],[type]],1,"基本",2,"锦囊",3,"装备")</f>
        <v>装备</v>
      </c>
      <c r="H161">
        <v>2</v>
      </c>
      <c r="I161">
        <v>0</v>
      </c>
      <c r="J161">
        <v>0</v>
      </c>
      <c r="K161">
        <v>0</v>
      </c>
      <c r="L161">
        <v>16</v>
      </c>
      <c r="N161" s="6"/>
      <c r="O161" s="4"/>
      <c r="P161" s="4"/>
      <c r="Q161" s="4"/>
      <c r="R161" s="4"/>
      <c r="S161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文家宝</dc:creator>
  <cp:lastModifiedBy>文家宝</cp:lastModifiedBy>
  <dcterms:created xsi:type="dcterms:W3CDTF">2025-06-18T12:22:24Z</dcterms:created>
  <dcterms:modified xsi:type="dcterms:W3CDTF">2026-07-29T09:46:03Z</dcterms:modified>
</cp:coreProperties>
</file>